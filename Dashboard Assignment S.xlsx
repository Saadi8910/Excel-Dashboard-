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man0\OneDrive\Desktop\"/>
    </mc:Choice>
  </mc:AlternateContent>
  <xr:revisionPtr revIDLastSave="0" documentId="13_ncr:1_{7A644AA1-4127-4206-9082-17B457C854F2}" xr6:coauthVersionLast="36" xr6:coauthVersionMax="36" xr10:uidLastSave="{00000000-0000-0000-0000-000000000000}"/>
  <bookViews>
    <workbookView xWindow="0" yWindow="0" windowWidth="28800" windowHeight="12105" firstSheet="7" activeTab="13" xr2:uid="{6C54930E-0ED2-4CB7-992C-19BA667EE0FF}"/>
  </bookViews>
  <sheets>
    <sheet name=" Raw" sheetId="4" r:id="rId1"/>
    <sheet name="Clean Data" sheetId="5" r:id="rId2"/>
    <sheet name="Sheet2" sheetId="27" state="hidden" r:id="rId3"/>
    <sheet name="Weight By Gender" sheetId="24" r:id="rId4"/>
    <sheet name="Playtime Vs Age Group" sheetId="23" r:id="rId5"/>
    <sheet name="Gender Distribution By EyeColor" sheetId="18" r:id="rId6"/>
    <sheet name="Gender Distribution" sheetId="7" r:id="rId7"/>
    <sheet name="Age Group Distribution" sheetId="9" r:id="rId8"/>
    <sheet name="Fur Colour" sheetId="10" r:id="rId9"/>
    <sheet name="Avg Sleep Time" sheetId="11" r:id="rId10"/>
    <sheet name="Avg Playtime By Gender" sheetId="13" r:id="rId11"/>
    <sheet name="Outdoor vs Indoorsy" sheetId="12" r:id="rId12"/>
    <sheet name="Calculation Sheet" sheetId="22" r:id="rId13"/>
    <sheet name="Dashboard" sheetId="8" r:id="rId14"/>
    <sheet name="Insights" sheetId="25" r:id="rId15"/>
  </sheets>
  <definedNames>
    <definedName name="Slicer_Age_Group">#N/A</definedName>
    <definedName name="Slicer_Allowed_outdoor_Clean">#N/A</definedName>
    <definedName name="Slicer_Country">#N/A</definedName>
    <definedName name="Slicer_Fur_colour_dominant_Final">#N/A</definedName>
    <definedName name="Slicer_Gender_Final">#N/A</definedName>
  </definedNames>
  <calcPr calcId="191029"/>
  <pivotCaches>
    <pivotCache cacheId="8"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27" l="1"/>
  <c r="D3" i="27"/>
  <c r="D4" i="27"/>
  <c r="D5" i="27"/>
  <c r="D6" i="27"/>
  <c r="D7" i="27"/>
  <c r="D8" i="27"/>
  <c r="D9" i="27"/>
  <c r="E9" i="27" s="1"/>
  <c r="F9" i="27" s="1"/>
  <c r="D10" i="27"/>
  <c r="D11" i="27"/>
  <c r="D12" i="27"/>
  <c r="D13" i="27"/>
  <c r="D14" i="27"/>
  <c r="D15" i="27"/>
  <c r="D16" i="27"/>
  <c r="D17" i="27"/>
  <c r="E17" i="27" s="1"/>
  <c r="F17" i="27" s="1"/>
  <c r="D18" i="27"/>
  <c r="D19" i="27"/>
  <c r="D20" i="27"/>
  <c r="D21" i="27"/>
  <c r="D22" i="27"/>
  <c r="D23" i="27"/>
  <c r="D24" i="27"/>
  <c r="D25" i="27"/>
  <c r="D26" i="27"/>
  <c r="D27" i="27"/>
  <c r="D28" i="27"/>
  <c r="D29" i="27"/>
  <c r="E29" i="27" s="1"/>
  <c r="F29" i="27" s="1"/>
  <c r="D30" i="27"/>
  <c r="D31" i="27"/>
  <c r="D32" i="27"/>
  <c r="E32" i="27" s="1"/>
  <c r="F32" i="27" s="1"/>
  <c r="D33" i="27"/>
  <c r="E33" i="27" s="1"/>
  <c r="F33" i="27" s="1"/>
  <c r="D34" i="27"/>
  <c r="E34" i="27" s="1"/>
  <c r="F34" i="27" s="1"/>
  <c r="D35" i="27"/>
  <c r="D36" i="27"/>
  <c r="D37" i="27"/>
  <c r="D38" i="27"/>
  <c r="E38" i="27" s="1"/>
  <c r="F38" i="27" s="1"/>
  <c r="D39" i="27"/>
  <c r="D40" i="27"/>
  <c r="H2" i="27"/>
  <c r="I2" i="27" s="1"/>
  <c r="H3" i="27"/>
  <c r="H4" i="27"/>
  <c r="H5" i="27"/>
  <c r="H6" i="27"/>
  <c r="I6" i="27" s="1"/>
  <c r="H7" i="27"/>
  <c r="H8" i="27"/>
  <c r="I8" i="27" s="1"/>
  <c r="H9" i="27"/>
  <c r="H10" i="27"/>
  <c r="I10" i="27" s="1"/>
  <c r="H11" i="27"/>
  <c r="I11" i="27" s="1"/>
  <c r="H12" i="27"/>
  <c r="H13" i="27"/>
  <c r="H14" i="27"/>
  <c r="I14" i="27" s="1"/>
  <c r="H15" i="27"/>
  <c r="I15" i="27" s="1"/>
  <c r="H16" i="27"/>
  <c r="I16" i="27" s="1"/>
  <c r="H17" i="27"/>
  <c r="I17" i="27" s="1"/>
  <c r="H18" i="27"/>
  <c r="I18" i="27" s="1"/>
  <c r="H19" i="27"/>
  <c r="H20" i="27"/>
  <c r="H21" i="27"/>
  <c r="I21" i="27" s="1"/>
  <c r="H22" i="27"/>
  <c r="I22" i="27" s="1"/>
  <c r="H23" i="27"/>
  <c r="I23" i="27" s="1"/>
  <c r="H24" i="27"/>
  <c r="I24" i="27" s="1"/>
  <c r="H25" i="27"/>
  <c r="H26" i="27"/>
  <c r="I26" i="27" s="1"/>
  <c r="H27" i="27"/>
  <c r="H28" i="27"/>
  <c r="H29" i="27"/>
  <c r="H30" i="27"/>
  <c r="I30" i="27" s="1"/>
  <c r="H31" i="27"/>
  <c r="I31" i="27" s="1"/>
  <c r="H32" i="27"/>
  <c r="I32" i="27" s="1"/>
  <c r="H33" i="27"/>
  <c r="I33" i="27" s="1"/>
  <c r="H34" i="27"/>
  <c r="I34" i="27" s="1"/>
  <c r="H35" i="27"/>
  <c r="I35" i="27" s="1"/>
  <c r="H36" i="27"/>
  <c r="H37" i="27"/>
  <c r="H38" i="27"/>
  <c r="I38" i="27" s="1"/>
  <c r="H39" i="27"/>
  <c r="I39" i="27" s="1"/>
  <c r="H40" i="27"/>
  <c r="I40" i="27" s="1"/>
  <c r="AA42" i="27"/>
  <c r="AD40" i="27"/>
  <c r="Y40" i="27"/>
  <c r="Z40" i="27" s="1"/>
  <c r="U40" i="27"/>
  <c r="T40" i="27"/>
  <c r="R40" i="27"/>
  <c r="O40" i="27"/>
  <c r="P40" i="27" s="1"/>
  <c r="M40" i="27"/>
  <c r="E40" i="27"/>
  <c r="F40" i="27" s="1"/>
  <c r="AD39" i="27"/>
  <c r="Z39" i="27"/>
  <c r="Y39" i="27"/>
  <c r="T39" i="27"/>
  <c r="U39" i="27" s="1"/>
  <c r="R39" i="27"/>
  <c r="O39" i="27"/>
  <c r="P39" i="27" s="1"/>
  <c r="M39" i="27"/>
  <c r="E39" i="27"/>
  <c r="F39" i="27" s="1"/>
  <c r="AD38" i="27"/>
  <c r="Z38" i="27"/>
  <c r="Y38" i="27"/>
  <c r="U38" i="27"/>
  <c r="T38" i="27"/>
  <c r="R38" i="27"/>
  <c r="O38" i="27"/>
  <c r="P38" i="27" s="1"/>
  <c r="M38" i="27"/>
  <c r="AD37" i="27"/>
  <c r="Z37" i="27"/>
  <c r="Y37" i="27"/>
  <c r="U37" i="27"/>
  <c r="T37" i="27"/>
  <c r="R37" i="27"/>
  <c r="P37" i="27"/>
  <c r="O37" i="27"/>
  <c r="M37" i="27"/>
  <c r="I37" i="27"/>
  <c r="E37" i="27"/>
  <c r="F37" i="27" s="1"/>
  <c r="AD36" i="27"/>
  <c r="Y36" i="27"/>
  <c r="Z36" i="27" s="1"/>
  <c r="W36" i="27"/>
  <c r="T36" i="27"/>
  <c r="U36" i="27" s="1"/>
  <c r="R36" i="27"/>
  <c r="P36" i="27"/>
  <c r="O36" i="27"/>
  <c r="M36" i="27"/>
  <c r="I36" i="27"/>
  <c r="E36" i="27"/>
  <c r="F36" i="27" s="1"/>
  <c r="AD35" i="27"/>
  <c r="Z35" i="27"/>
  <c r="Y35" i="27"/>
  <c r="W35" i="27"/>
  <c r="U35" i="27"/>
  <c r="T35" i="27"/>
  <c r="R35" i="27"/>
  <c r="O35" i="27"/>
  <c r="P35" i="27" s="1"/>
  <c r="M35" i="27"/>
  <c r="E35" i="27"/>
  <c r="F35" i="27" s="1"/>
  <c r="AD34" i="27"/>
  <c r="Z34" i="27"/>
  <c r="Y34" i="27"/>
  <c r="W34" i="27"/>
  <c r="T34" i="27"/>
  <c r="U34" i="27" s="1"/>
  <c r="R34" i="27"/>
  <c r="P34" i="27"/>
  <c r="O34" i="27"/>
  <c r="M34" i="27"/>
  <c r="AD33" i="27"/>
  <c r="Y33" i="27"/>
  <c r="Z33" i="27" s="1"/>
  <c r="W33" i="27"/>
  <c r="T33" i="27"/>
  <c r="U33" i="27" s="1"/>
  <c r="R33" i="27"/>
  <c r="O33" i="27"/>
  <c r="P33" i="27" s="1"/>
  <c r="M33" i="27"/>
  <c r="AD32" i="27"/>
  <c r="Z32" i="27"/>
  <c r="Y32" i="27"/>
  <c r="W32" i="27"/>
  <c r="U32" i="27"/>
  <c r="T32" i="27"/>
  <c r="R32" i="27"/>
  <c r="P32" i="27"/>
  <c r="O32" i="27"/>
  <c r="M32" i="27"/>
  <c r="AD31" i="27"/>
  <c r="Y31" i="27"/>
  <c r="Z31" i="27" s="1"/>
  <c r="W31" i="27"/>
  <c r="U31" i="27"/>
  <c r="T31" i="27"/>
  <c r="R31" i="27"/>
  <c r="O31" i="27"/>
  <c r="P31" i="27" s="1"/>
  <c r="M31" i="27"/>
  <c r="E31" i="27"/>
  <c r="F31" i="27" s="1"/>
  <c r="AD30" i="27"/>
  <c r="Z30" i="27"/>
  <c r="Y30" i="27"/>
  <c r="W30" i="27"/>
  <c r="T30" i="27"/>
  <c r="U30" i="27" s="1"/>
  <c r="R30" i="27"/>
  <c r="O30" i="27"/>
  <c r="P30" i="27" s="1"/>
  <c r="M30" i="27"/>
  <c r="E30" i="27"/>
  <c r="F30" i="27" s="1"/>
  <c r="AD29" i="27"/>
  <c r="Y29" i="27"/>
  <c r="Z29" i="27" s="1"/>
  <c r="W29" i="27"/>
  <c r="U29" i="27"/>
  <c r="T29" i="27"/>
  <c r="R29" i="27"/>
  <c r="P29" i="27"/>
  <c r="O29" i="27"/>
  <c r="M29" i="27"/>
  <c r="I29" i="27"/>
  <c r="AD28" i="27"/>
  <c r="Y28" i="27"/>
  <c r="Z28" i="27" s="1"/>
  <c r="W28" i="27"/>
  <c r="T28" i="27"/>
  <c r="U28" i="27" s="1"/>
  <c r="R28" i="27"/>
  <c r="P28" i="27"/>
  <c r="O28" i="27"/>
  <c r="M28" i="27"/>
  <c r="I28" i="27"/>
  <c r="E28" i="27"/>
  <c r="F28" i="27" s="1"/>
  <c r="AD27" i="27"/>
  <c r="Z27" i="27"/>
  <c r="Y27" i="27"/>
  <c r="W27" i="27"/>
  <c r="U27" i="27"/>
  <c r="T27" i="27"/>
  <c r="R27" i="27"/>
  <c r="O27" i="27"/>
  <c r="P27" i="27" s="1"/>
  <c r="M27" i="27"/>
  <c r="I27" i="27"/>
  <c r="F27" i="27"/>
  <c r="AD26" i="27"/>
  <c r="Y26" i="27"/>
  <c r="Z26" i="27" s="1"/>
  <c r="W26" i="27"/>
  <c r="T26" i="27"/>
  <c r="U26" i="27" s="1"/>
  <c r="R26" i="27"/>
  <c r="O26" i="27"/>
  <c r="P26" i="27" s="1"/>
  <c r="M26" i="27"/>
  <c r="F26" i="27"/>
  <c r="AD25" i="27"/>
  <c r="Y25" i="27"/>
  <c r="Z25" i="27" s="1"/>
  <c r="W25" i="27"/>
  <c r="U25" i="27"/>
  <c r="T25" i="27"/>
  <c r="R25" i="27"/>
  <c r="O25" i="27"/>
  <c r="P25" i="27" s="1"/>
  <c r="M25" i="27"/>
  <c r="I25" i="27"/>
  <c r="F25" i="27"/>
  <c r="AD24" i="27"/>
  <c r="Y24" i="27"/>
  <c r="Z24" i="27" s="1"/>
  <c r="W24" i="27"/>
  <c r="U24" i="27"/>
  <c r="T24" i="27"/>
  <c r="R24" i="27"/>
  <c r="P24" i="27"/>
  <c r="O24" i="27"/>
  <c r="M24" i="27"/>
  <c r="F24" i="27"/>
  <c r="AD23" i="27"/>
  <c r="Z23" i="27"/>
  <c r="Y23" i="27"/>
  <c r="W23" i="27"/>
  <c r="U23" i="27"/>
  <c r="T23" i="27"/>
  <c r="R23" i="27"/>
  <c r="O23" i="27"/>
  <c r="P23" i="27" s="1"/>
  <c r="M23" i="27"/>
  <c r="F23" i="27"/>
  <c r="AD22" i="27"/>
  <c r="Y22" i="27"/>
  <c r="Z22" i="27" s="1"/>
  <c r="W22" i="27"/>
  <c r="T22" i="27"/>
  <c r="U22" i="27" s="1"/>
  <c r="R22" i="27"/>
  <c r="O22" i="27"/>
  <c r="P22" i="27" s="1"/>
  <c r="M22" i="27"/>
  <c r="F22" i="27"/>
  <c r="AD21" i="27"/>
  <c r="Y21" i="27"/>
  <c r="Z21" i="27" s="1"/>
  <c r="W21" i="27"/>
  <c r="U21" i="27"/>
  <c r="T21" i="27"/>
  <c r="R21" i="27"/>
  <c r="O21" i="27"/>
  <c r="P21" i="27" s="1"/>
  <c r="M21" i="27"/>
  <c r="E21" i="27"/>
  <c r="F21" i="27" s="1"/>
  <c r="AD20" i="27"/>
  <c r="Z20" i="27"/>
  <c r="Y20" i="27"/>
  <c r="W20" i="27"/>
  <c r="T20" i="27"/>
  <c r="U20" i="27" s="1"/>
  <c r="R20" i="27"/>
  <c r="O20" i="27"/>
  <c r="P20" i="27" s="1"/>
  <c r="M20" i="27"/>
  <c r="I20" i="27"/>
  <c r="F20" i="27"/>
  <c r="AD19" i="27"/>
  <c r="Y19" i="27"/>
  <c r="Z19" i="27" s="1"/>
  <c r="W19" i="27"/>
  <c r="T19" i="27"/>
  <c r="U19" i="27" s="1"/>
  <c r="R19" i="27"/>
  <c r="P19" i="27"/>
  <c r="O19" i="27"/>
  <c r="M19" i="27"/>
  <c r="I19" i="27"/>
  <c r="E19" i="27"/>
  <c r="F19" i="27" s="1"/>
  <c r="AD18" i="27"/>
  <c r="Z18" i="27"/>
  <c r="Y18" i="27"/>
  <c r="W18" i="27"/>
  <c r="U18" i="27"/>
  <c r="T18" i="27"/>
  <c r="R18" i="27"/>
  <c r="O18" i="27"/>
  <c r="P18" i="27" s="1"/>
  <c r="M18" i="27"/>
  <c r="F18" i="27"/>
  <c r="AD17" i="27"/>
  <c r="Y17" i="27"/>
  <c r="Z17" i="27" s="1"/>
  <c r="W17" i="27"/>
  <c r="T17" i="27"/>
  <c r="U17" i="27" s="1"/>
  <c r="R17" i="27"/>
  <c r="O17" i="27"/>
  <c r="P17" i="27" s="1"/>
  <c r="M17" i="27"/>
  <c r="AD16" i="27"/>
  <c r="Z16" i="27"/>
  <c r="Y16" i="27"/>
  <c r="W16" i="27"/>
  <c r="U16" i="27"/>
  <c r="T16" i="27"/>
  <c r="R16" i="27"/>
  <c r="P16" i="27"/>
  <c r="O16" i="27"/>
  <c r="M16" i="27"/>
  <c r="F16" i="27"/>
  <c r="AD15" i="27"/>
  <c r="Z15" i="27"/>
  <c r="Y15" i="27"/>
  <c r="W15" i="27"/>
  <c r="T15" i="27"/>
  <c r="U15" i="27" s="1"/>
  <c r="R15" i="27"/>
  <c r="O15" i="27"/>
  <c r="P15" i="27" s="1"/>
  <c r="M15" i="27"/>
  <c r="F15" i="27"/>
  <c r="AD14" i="27"/>
  <c r="Y14" i="27"/>
  <c r="Z14" i="27" s="1"/>
  <c r="W14" i="27"/>
  <c r="T14" i="27"/>
  <c r="U14" i="27" s="1"/>
  <c r="R14" i="27"/>
  <c r="P14" i="27"/>
  <c r="O14" i="27"/>
  <c r="M14" i="27"/>
  <c r="E14" i="27"/>
  <c r="F14" i="27" s="1"/>
  <c r="AD13" i="27"/>
  <c r="Z13" i="27"/>
  <c r="Y13" i="27"/>
  <c r="W13" i="27"/>
  <c r="U13" i="27"/>
  <c r="T13" i="27"/>
  <c r="R13" i="27"/>
  <c r="O13" i="27"/>
  <c r="P13" i="27" s="1"/>
  <c r="M13" i="27"/>
  <c r="I13" i="27"/>
  <c r="E13" i="27"/>
  <c r="F13" i="27" s="1"/>
  <c r="AD12" i="27"/>
  <c r="Z12" i="27"/>
  <c r="Y12" i="27"/>
  <c r="W12" i="27"/>
  <c r="T12" i="27"/>
  <c r="U12" i="27" s="1"/>
  <c r="R12" i="27"/>
  <c r="P12" i="27"/>
  <c r="O12" i="27"/>
  <c r="M12" i="27"/>
  <c r="I12" i="27"/>
  <c r="E12" i="27"/>
  <c r="F12" i="27" s="1"/>
  <c r="AD11" i="27"/>
  <c r="Y11" i="27"/>
  <c r="Z11" i="27" s="1"/>
  <c r="W11" i="27"/>
  <c r="T11" i="27"/>
  <c r="U11" i="27" s="1"/>
  <c r="R11" i="27"/>
  <c r="O11" i="27"/>
  <c r="P11" i="27" s="1"/>
  <c r="M11" i="27"/>
  <c r="E11" i="27"/>
  <c r="F11" i="27" s="1"/>
  <c r="AD10" i="27"/>
  <c r="Z10" i="27"/>
  <c r="Y10" i="27"/>
  <c r="W10" i="27"/>
  <c r="U10" i="27"/>
  <c r="T10" i="27"/>
  <c r="R10" i="27"/>
  <c r="P10" i="27"/>
  <c r="O10" i="27"/>
  <c r="M10" i="27"/>
  <c r="E10" i="27"/>
  <c r="F10" i="27" s="1"/>
  <c r="AD9" i="27"/>
  <c r="Y9" i="27"/>
  <c r="Z9" i="27" s="1"/>
  <c r="W9" i="27"/>
  <c r="U9" i="27"/>
  <c r="T9" i="27"/>
  <c r="R9" i="27"/>
  <c r="O9" i="27"/>
  <c r="P9" i="27" s="1"/>
  <c r="M9" i="27"/>
  <c r="I9" i="27"/>
  <c r="AD8" i="27"/>
  <c r="Z8" i="27"/>
  <c r="Y8" i="27"/>
  <c r="W8" i="27"/>
  <c r="T8" i="27"/>
  <c r="U8" i="27" s="1"/>
  <c r="R8" i="27"/>
  <c r="O8" i="27"/>
  <c r="P8" i="27" s="1"/>
  <c r="M8" i="27"/>
  <c r="F8" i="27"/>
  <c r="AD7" i="27"/>
  <c r="Y7" i="27"/>
  <c r="Z7" i="27" s="1"/>
  <c r="W7" i="27"/>
  <c r="T7" i="27"/>
  <c r="U7" i="27" s="1"/>
  <c r="R7" i="27"/>
  <c r="P7" i="27"/>
  <c r="O7" i="27"/>
  <c r="M7" i="27"/>
  <c r="I7" i="27"/>
  <c r="E7" i="27"/>
  <c r="F7" i="27" s="1"/>
  <c r="AD6" i="27"/>
  <c r="Z6" i="27"/>
  <c r="Y6" i="27"/>
  <c r="W6" i="27"/>
  <c r="U6" i="27"/>
  <c r="T6" i="27"/>
  <c r="R6" i="27"/>
  <c r="O6" i="27"/>
  <c r="P6" i="27" s="1"/>
  <c r="M6" i="27"/>
  <c r="F6" i="27"/>
  <c r="AD5" i="27"/>
  <c r="Y5" i="27"/>
  <c r="Z5" i="27" s="1"/>
  <c r="W5" i="27"/>
  <c r="T5" i="27"/>
  <c r="U5" i="27" s="1"/>
  <c r="R5" i="27"/>
  <c r="O5" i="27"/>
  <c r="P5" i="27" s="1"/>
  <c r="M5" i="27"/>
  <c r="I5" i="27"/>
  <c r="F5" i="27"/>
  <c r="AD4" i="27"/>
  <c r="Y4" i="27"/>
  <c r="Z4" i="27" s="1"/>
  <c r="W4" i="27"/>
  <c r="U4" i="27"/>
  <c r="T4" i="27"/>
  <c r="R4" i="27"/>
  <c r="O4" i="27"/>
  <c r="P4" i="27" s="1"/>
  <c r="M4" i="27"/>
  <c r="I4" i="27"/>
  <c r="F4" i="27"/>
  <c r="AD3" i="27"/>
  <c r="Y3" i="27"/>
  <c r="Z3" i="27" s="1"/>
  <c r="W3" i="27"/>
  <c r="U3" i="27"/>
  <c r="T3" i="27"/>
  <c r="R3" i="27"/>
  <c r="P3" i="27"/>
  <c r="O3" i="27"/>
  <c r="M3" i="27"/>
  <c r="I3" i="27"/>
  <c r="E3" i="27"/>
  <c r="F3" i="27" s="1"/>
  <c r="AD2" i="27"/>
  <c r="Y2" i="27"/>
  <c r="Z2" i="27" s="1"/>
  <c r="W2" i="27"/>
  <c r="T2" i="27"/>
  <c r="U2" i="27" s="1"/>
  <c r="R2" i="27"/>
  <c r="P2" i="27"/>
  <c r="O2" i="27"/>
  <c r="M2" i="27"/>
  <c r="E2" i="27"/>
  <c r="E42" i="27" l="1"/>
  <c r="F2" i="27"/>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2" i="5"/>
  <c r="AA42" i="5" l="1"/>
  <c r="E42"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11" i="5"/>
  <c r="O2" i="5"/>
  <c r="O3" i="5"/>
  <c r="O4" i="5"/>
  <c r="O5" i="5"/>
  <c r="O6" i="5"/>
  <c r="O7" i="5"/>
  <c r="O8" i="5"/>
  <c r="O9" i="5"/>
  <c r="P9" i="5" s="1"/>
  <c r="O10" i="5"/>
  <c r="O11" i="5"/>
  <c r="O12" i="5"/>
  <c r="O13" i="5"/>
  <c r="O14" i="5"/>
  <c r="O15" i="5"/>
  <c r="O16" i="5"/>
  <c r="O17" i="5"/>
  <c r="P17" i="5" s="1"/>
  <c r="O18" i="5"/>
  <c r="O19" i="5"/>
  <c r="O20" i="5"/>
  <c r="O21" i="5"/>
  <c r="O22" i="5"/>
  <c r="O23" i="5"/>
  <c r="O24" i="5"/>
  <c r="O25" i="5"/>
  <c r="P25" i="5" s="1"/>
  <c r="O26" i="5"/>
  <c r="O27" i="5"/>
  <c r="O28" i="5"/>
  <c r="O29" i="5"/>
  <c r="O30" i="5"/>
  <c r="O31" i="5"/>
  <c r="O32" i="5"/>
  <c r="O33" i="5"/>
  <c r="P33" i="5" s="1"/>
  <c r="O34" i="5"/>
  <c r="O35" i="5"/>
  <c r="O36" i="5"/>
  <c r="O37" i="5"/>
  <c r="O38" i="5"/>
  <c r="O39" i="5"/>
  <c r="O40" i="5"/>
  <c r="F15" i="5"/>
  <c r="P3" i="5"/>
  <c r="P4" i="5"/>
  <c r="P5" i="5"/>
  <c r="P6" i="5"/>
  <c r="P7" i="5"/>
  <c r="P8" i="5"/>
  <c r="P10" i="5"/>
  <c r="P11" i="5"/>
  <c r="P12" i="5"/>
  <c r="P13" i="5"/>
  <c r="P14" i="5"/>
  <c r="P15" i="5"/>
  <c r="P16" i="5"/>
  <c r="P18" i="5"/>
  <c r="P19" i="5"/>
  <c r="P20" i="5"/>
  <c r="P21" i="5"/>
  <c r="P22" i="5"/>
  <c r="P23" i="5"/>
  <c r="P24" i="5"/>
  <c r="P26" i="5"/>
  <c r="P27" i="5"/>
  <c r="P28" i="5"/>
  <c r="P29" i="5"/>
  <c r="P30" i="5"/>
  <c r="P31" i="5"/>
  <c r="P32" i="5"/>
  <c r="P34" i="5"/>
  <c r="P35" i="5"/>
  <c r="P36" i="5"/>
  <c r="P37" i="5"/>
  <c r="P38" i="5"/>
  <c r="P39" i="5"/>
  <c r="P40" i="5"/>
  <c r="P2" i="5"/>
  <c r="AD18" i="5"/>
  <c r="AD26" i="5"/>
  <c r="AD2" i="5"/>
  <c r="AD3" i="5"/>
  <c r="AD4" i="5"/>
  <c r="AD5" i="5"/>
  <c r="AD6" i="5"/>
  <c r="AD7" i="5"/>
  <c r="AD8" i="5"/>
  <c r="AD9" i="5"/>
  <c r="AD10" i="5"/>
  <c r="AD11" i="5"/>
  <c r="AD12" i="5"/>
  <c r="AD13" i="5"/>
  <c r="AD14" i="5"/>
  <c r="AD15" i="5"/>
  <c r="AD16" i="5"/>
  <c r="AD17" i="5"/>
  <c r="AD19" i="5"/>
  <c r="AD20" i="5"/>
  <c r="AD21" i="5"/>
  <c r="AD22" i="5"/>
  <c r="AD23" i="5"/>
  <c r="AD24" i="5"/>
  <c r="AD25" i="5"/>
  <c r="AD27" i="5"/>
  <c r="AD28" i="5"/>
  <c r="AD29" i="5"/>
  <c r="AD30" i="5"/>
  <c r="AD31" i="5"/>
  <c r="AD32" i="5"/>
  <c r="AD33" i="5"/>
  <c r="AD34" i="5"/>
  <c r="AD35" i="5"/>
  <c r="AD36" i="5"/>
  <c r="AD37" i="5"/>
  <c r="AD38" i="5"/>
  <c r="AD39" i="5"/>
  <c r="AD40" i="5"/>
  <c r="F3" i="5"/>
  <c r="F7" i="5"/>
  <c r="F12" i="5"/>
  <c r="F13" i="5"/>
  <c r="F14" i="5"/>
  <c r="F16" i="5"/>
  <c r="F17" i="5"/>
  <c r="F19" i="5"/>
  <c r="F20" i="5"/>
  <c r="F21" i="5"/>
  <c r="F28" i="5"/>
  <c r="F29" i="5"/>
  <c r="F33" i="5"/>
  <c r="F34" i="5"/>
  <c r="F35" i="5"/>
  <c r="F36" i="5"/>
  <c r="F37" i="5"/>
  <c r="F38" i="5"/>
  <c r="F39" i="5"/>
  <c r="F40" i="5"/>
  <c r="F2" i="5"/>
  <c r="Z3" i="5" l="1"/>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2" i="5"/>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3" i="5"/>
  <c r="U34" i="5"/>
  <c r="U35" i="5"/>
  <c r="U37" i="5"/>
  <c r="U38" i="5"/>
  <c r="U40" i="5"/>
  <c r="U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U32" i="5" s="1"/>
  <c r="T33" i="5"/>
  <c r="T34" i="5"/>
  <c r="T35" i="5"/>
  <c r="T36" i="5"/>
  <c r="U36" i="5" s="1"/>
  <c r="T37" i="5"/>
  <c r="T38" i="5"/>
  <c r="T39" i="5"/>
  <c r="U39" i="5" s="1"/>
  <c r="T40" i="5"/>
  <c r="T2" i="5"/>
  <c r="I3" i="5"/>
  <c r="I4" i="5"/>
  <c r="I5" i="5"/>
  <c r="I7" i="5"/>
  <c r="I8" i="5"/>
  <c r="I10" i="5"/>
  <c r="I11" i="5"/>
  <c r="I12" i="5"/>
  <c r="I13" i="5"/>
  <c r="I14" i="5"/>
  <c r="I15" i="5"/>
  <c r="I16" i="5"/>
  <c r="I17" i="5"/>
  <c r="I19" i="5"/>
  <c r="I20" i="5"/>
  <c r="I21" i="5"/>
  <c r="I22" i="5"/>
  <c r="I23" i="5"/>
  <c r="I24" i="5"/>
  <c r="I25" i="5"/>
  <c r="I26" i="5"/>
  <c r="I27" i="5"/>
  <c r="I28" i="5"/>
  <c r="I29" i="5"/>
  <c r="I30" i="5"/>
  <c r="I31" i="5"/>
  <c r="I32" i="5"/>
  <c r="I33" i="5"/>
  <c r="I34" i="5"/>
  <c r="I35" i="5"/>
  <c r="I36" i="5"/>
  <c r="I37" i="5"/>
  <c r="I38" i="5"/>
  <c r="I39" i="5"/>
  <c r="I40" i="5"/>
  <c r="I2" i="5"/>
  <c r="H3" i="5"/>
  <c r="H4" i="5"/>
  <c r="H5" i="5"/>
  <c r="H6" i="5"/>
  <c r="I6" i="5" s="1"/>
  <c r="H7" i="5"/>
  <c r="H8" i="5"/>
  <c r="H9" i="5"/>
  <c r="I9" i="5" s="1"/>
  <c r="H10" i="5"/>
  <c r="H11" i="5"/>
  <c r="H12" i="5"/>
  <c r="H13" i="5"/>
  <c r="H14" i="5"/>
  <c r="H15" i="5"/>
  <c r="H16" i="5"/>
  <c r="H17" i="5"/>
  <c r="H18" i="5"/>
  <c r="I18" i="5" s="1"/>
  <c r="H19" i="5"/>
  <c r="H20" i="5"/>
  <c r="H21" i="5"/>
  <c r="H22" i="5"/>
  <c r="H23" i="5"/>
  <c r="H24" i="5"/>
  <c r="H25" i="5"/>
  <c r="H26" i="5"/>
  <c r="H27" i="5"/>
  <c r="H28" i="5"/>
  <c r="H29" i="5"/>
  <c r="H30" i="5"/>
  <c r="H31" i="5"/>
  <c r="H32" i="5"/>
  <c r="H33" i="5"/>
  <c r="H34" i="5"/>
  <c r="H35" i="5"/>
  <c r="H36" i="5"/>
  <c r="H37" i="5"/>
  <c r="H38" i="5"/>
  <c r="H39" i="5"/>
  <c r="H40" i="5"/>
  <c r="H2" i="5"/>
  <c r="M3" i="5"/>
  <c r="M4" i="5"/>
  <c r="M5" i="5"/>
  <c r="M6" i="5"/>
  <c r="M7" i="5"/>
  <c r="M8" i="5"/>
  <c r="M9" i="5"/>
  <c r="M10" i="5"/>
  <c r="M2" i="5"/>
  <c r="E3" i="5"/>
  <c r="F6" i="5"/>
  <c r="E7" i="5"/>
  <c r="F8" i="5"/>
  <c r="E10" i="5"/>
  <c r="F10" i="5" s="1"/>
  <c r="E11" i="5"/>
  <c r="F11" i="5" s="1"/>
  <c r="E12" i="5"/>
  <c r="E13" i="5"/>
  <c r="E14" i="5"/>
  <c r="E17" i="5"/>
  <c r="F18" i="5"/>
  <c r="E19" i="5"/>
  <c r="E21" i="5"/>
  <c r="F22" i="5"/>
  <c r="F23" i="5"/>
  <c r="F24" i="5"/>
  <c r="F26" i="5"/>
  <c r="F27" i="5"/>
  <c r="E28" i="5"/>
  <c r="E29" i="5"/>
  <c r="E30" i="5"/>
  <c r="F30" i="5" s="1"/>
  <c r="E31" i="5"/>
  <c r="F31" i="5" s="1"/>
  <c r="E32" i="5"/>
  <c r="F32" i="5" s="1"/>
  <c r="E33" i="5"/>
  <c r="E34" i="5"/>
  <c r="E35" i="5"/>
  <c r="E36" i="5"/>
  <c r="E37" i="5"/>
  <c r="E38" i="5"/>
  <c r="E39" i="5"/>
  <c r="E40" i="5"/>
  <c r="E2" i="5"/>
  <c r="D3" i="5"/>
  <c r="D4" i="5"/>
  <c r="F4" i="5" s="1"/>
  <c r="D5" i="5"/>
  <c r="F5" i="5" s="1"/>
  <c r="D6" i="5"/>
  <c r="D7" i="5"/>
  <c r="D8" i="5"/>
  <c r="D9" i="5"/>
  <c r="E9" i="5" s="1"/>
  <c r="F9" i="5" s="1"/>
  <c r="D10" i="5"/>
  <c r="D11" i="5"/>
  <c r="D12" i="5"/>
  <c r="D13" i="5"/>
  <c r="D14" i="5"/>
  <c r="D15" i="5"/>
  <c r="D16" i="5"/>
  <c r="D17" i="5"/>
  <c r="D18" i="5"/>
  <c r="D19" i="5"/>
  <c r="D20" i="5"/>
  <c r="D21" i="5"/>
  <c r="D22" i="5"/>
  <c r="D23" i="5"/>
  <c r="D24" i="5"/>
  <c r="D25" i="5"/>
  <c r="F25" i="5" s="1"/>
  <c r="D26" i="5"/>
  <c r="D27" i="5"/>
  <c r="D28" i="5"/>
  <c r="D29" i="5"/>
  <c r="D30" i="5"/>
  <c r="D31" i="5"/>
  <c r="D32" i="5"/>
  <c r="D33" i="5"/>
  <c r="D34" i="5"/>
  <c r="D35" i="5"/>
  <c r="D36" i="5"/>
  <c r="D37" i="5"/>
  <c r="D38" i="5"/>
  <c r="D39" i="5"/>
  <c r="D40" i="5"/>
  <c r="D2" i="5"/>
</calcChain>
</file>

<file path=xl/sharedStrings.xml><?xml version="1.0" encoding="utf-8"?>
<sst xmlns="http://schemas.openxmlformats.org/spreadsheetml/2006/main" count="1033" uniqueCount="94">
  <si>
    <t>Breed</t>
  </si>
  <si>
    <t>Age_in_years</t>
  </si>
  <si>
    <t>Age_in_months</t>
  </si>
  <si>
    <t>Gender</t>
  </si>
  <si>
    <t>Neutered_or_spayed</t>
  </si>
  <si>
    <t>Body_length</t>
  </si>
  <si>
    <t>Weight</t>
  </si>
  <si>
    <t>Fur_colour_dominant</t>
  </si>
  <si>
    <t>Fur_pattern</t>
  </si>
  <si>
    <t>Eye_colour</t>
  </si>
  <si>
    <t>Allowed_outdoor</t>
  </si>
  <si>
    <t>Preferred_food</t>
  </si>
  <si>
    <t>Owner_play_time_minutes</t>
  </si>
  <si>
    <t>Sleep_time_hours</t>
  </si>
  <si>
    <t>Country</t>
  </si>
  <si>
    <t>Latitude</t>
  </si>
  <si>
    <t>Longitude</t>
  </si>
  <si>
    <t>Angora</t>
  </si>
  <si>
    <t>female</t>
  </si>
  <si>
    <t>white</t>
  </si>
  <si>
    <t>solid</t>
  </si>
  <si>
    <t>blue</t>
  </si>
  <si>
    <t>wet</t>
  </si>
  <si>
    <t>France</t>
  </si>
  <si>
    <t>male</t>
  </si>
  <si>
    <t>what does it mean dominant?</t>
  </si>
  <si>
    <t>green</t>
  </si>
  <si>
    <t>I never allow my kitty outside!!!!!</t>
  </si>
  <si>
    <t>Ankora</t>
  </si>
  <si>
    <t>dirty</t>
  </si>
  <si>
    <t>red/cream</t>
  </si>
  <si>
    <t>tabby</t>
  </si>
  <si>
    <t>france</t>
  </si>
  <si>
    <t>amber</t>
  </si>
  <si>
    <t>a lot of food</t>
  </si>
  <si>
    <t>cute</t>
  </si>
  <si>
    <t>black</t>
  </si>
  <si>
    <t>dry</t>
  </si>
  <si>
    <t>angora</t>
  </si>
  <si>
    <t>La France!!!!</t>
  </si>
  <si>
    <t>Age_Months_Clean</t>
  </si>
  <si>
    <t>Age_Months_Final</t>
  </si>
  <si>
    <t>Weight_Clea</t>
  </si>
  <si>
    <t>Gender_Clean</t>
  </si>
  <si>
    <t>Gender_Final</t>
  </si>
  <si>
    <t>Eye_Colour_Clean</t>
  </si>
  <si>
    <t>Eye_Colour_Final</t>
  </si>
  <si>
    <t>Allowed_outdoor_Clean</t>
  </si>
  <si>
    <t xml:space="preserve">Preferred_food_Clean </t>
  </si>
  <si>
    <t>Preferred_food_Final</t>
  </si>
  <si>
    <t>Age_Group</t>
  </si>
  <si>
    <t>unknown</t>
  </si>
  <si>
    <t>Fur_colour_dominant_Clean</t>
  </si>
  <si>
    <t>Fur_colour_dominant_Final</t>
  </si>
  <si>
    <t>Country_Clean</t>
  </si>
  <si>
    <t>Row Labels</t>
  </si>
  <si>
    <t>Female</t>
  </si>
  <si>
    <t>Male</t>
  </si>
  <si>
    <t>Unknown</t>
  </si>
  <si>
    <t>Grand Total</t>
  </si>
  <si>
    <t>Count of Gender_Final</t>
  </si>
  <si>
    <t>Adult</t>
  </si>
  <si>
    <t>Kitten</t>
  </si>
  <si>
    <t>Senior</t>
  </si>
  <si>
    <t>Young</t>
  </si>
  <si>
    <t>Count of Age_Group</t>
  </si>
  <si>
    <t>Black</t>
  </si>
  <si>
    <t>Red/Cream</t>
  </si>
  <si>
    <t>White</t>
  </si>
  <si>
    <t>Count of Fur_colour_dominant_Final</t>
  </si>
  <si>
    <t>Average of Sleep_time_hours</t>
  </si>
  <si>
    <t>Average of Owner_play_time_minutes</t>
  </si>
  <si>
    <t>Count of Allowed_outdoor_Clean</t>
  </si>
  <si>
    <t>No</t>
  </si>
  <si>
    <t>Yes</t>
  </si>
  <si>
    <t>Average of Weight_Clea</t>
  </si>
  <si>
    <t>N/A</t>
  </si>
  <si>
    <t>Green</t>
  </si>
  <si>
    <t>Blue</t>
  </si>
  <si>
    <t>Amber</t>
  </si>
  <si>
    <t>Column Labels</t>
  </si>
  <si>
    <t>Count of Eye_Colour_Final</t>
  </si>
  <si>
    <t>Total Gender Count</t>
  </si>
  <si>
    <t>Average Age</t>
  </si>
  <si>
    <t>Total Play Time</t>
  </si>
  <si>
    <t>Unique Fur Colours</t>
  </si>
  <si>
    <t>White and Black</t>
  </si>
  <si>
    <r>
      <t>Population Overview:</t>
    </r>
    <r>
      <rPr>
        <sz val="11"/>
        <color theme="1"/>
        <rFont val="Calibri"/>
        <family val="2"/>
        <scheme val="minor"/>
      </rPr>
      <t xml:space="preserve"> You are tracking </t>
    </r>
    <r>
      <rPr>
        <b/>
        <sz val="11"/>
        <color theme="1"/>
        <rFont val="Calibri"/>
        <family val="2"/>
        <scheme val="minor"/>
      </rPr>
      <t>39 cats</t>
    </r>
    <r>
      <rPr>
        <sz val="11"/>
        <color theme="1"/>
        <rFont val="Calibri"/>
        <family val="2"/>
        <scheme val="minor"/>
      </rPr>
      <t xml:space="preserve"> with an average age of </t>
    </r>
    <r>
      <rPr>
        <b/>
        <sz val="11"/>
        <color theme="1"/>
        <rFont val="Calibri"/>
        <family val="2"/>
        <scheme val="minor"/>
      </rPr>
      <t>12.5 months</t>
    </r>
    <r>
      <rPr>
        <sz val="11"/>
        <color theme="1"/>
        <rFont val="Calibri"/>
        <family val="2"/>
        <scheme val="minor"/>
      </rPr>
      <t xml:space="preserve">. They are high-energy, averaging </t>
    </r>
    <r>
      <rPr>
        <b/>
        <sz val="11"/>
        <color theme="1"/>
        <rFont val="Calibri"/>
        <family val="2"/>
        <scheme val="minor"/>
      </rPr>
      <t>31.5 minutes of playtime</t>
    </r>
    <r>
      <rPr>
        <sz val="11"/>
        <color theme="1"/>
        <rFont val="Calibri"/>
        <family val="2"/>
        <scheme val="minor"/>
      </rPr>
      <t xml:space="preserve"> and roughly </t>
    </r>
    <r>
      <rPr>
        <b/>
        <sz val="11"/>
        <color theme="1"/>
        <rFont val="Calibri"/>
        <family val="2"/>
        <scheme val="minor"/>
      </rPr>
      <t>15.8 hours of sleep</t>
    </r>
    <r>
      <rPr>
        <sz val="11"/>
        <color theme="1"/>
        <rFont val="Calibri"/>
        <family val="2"/>
        <scheme val="minor"/>
      </rPr>
      <t xml:space="preserve"> per day.</t>
    </r>
  </si>
  <si>
    <r>
      <t>Gender Trends:</t>
    </r>
    <r>
      <rPr>
        <sz val="11"/>
        <color theme="1"/>
        <rFont val="Calibri"/>
        <family val="2"/>
        <scheme val="minor"/>
      </rPr>
      <t xml:space="preserve"> The population is majority </t>
    </r>
    <r>
      <rPr>
        <b/>
        <sz val="11"/>
        <color theme="1"/>
        <rFont val="Calibri"/>
        <family val="2"/>
        <scheme val="minor"/>
      </rPr>
      <t>Male (49%)</t>
    </r>
    <r>
      <rPr>
        <sz val="11"/>
        <color theme="1"/>
        <rFont val="Calibri"/>
        <family val="2"/>
        <scheme val="minor"/>
      </rPr>
      <t xml:space="preserve">, followed by </t>
    </r>
    <r>
      <rPr>
        <b/>
        <sz val="11"/>
        <color theme="1"/>
        <rFont val="Calibri"/>
        <family val="2"/>
        <scheme val="minor"/>
      </rPr>
      <t>Female (33%)</t>
    </r>
    <r>
      <rPr>
        <sz val="11"/>
        <color theme="1"/>
        <rFont val="Calibri"/>
        <family val="2"/>
        <scheme val="minor"/>
      </rPr>
      <t xml:space="preserve">. Interestingly, </t>
    </r>
    <r>
      <rPr>
        <b/>
        <sz val="11"/>
        <color theme="1"/>
        <rFont val="Calibri"/>
        <family val="2"/>
        <scheme val="minor"/>
      </rPr>
      <t>Females</t>
    </r>
    <r>
      <rPr>
        <sz val="11"/>
        <color theme="1"/>
        <rFont val="Calibri"/>
        <family val="2"/>
        <scheme val="minor"/>
      </rPr>
      <t xml:space="preserve"> appear to have a higher average </t>
    </r>
    <r>
      <rPr>
        <b/>
        <sz val="11"/>
        <color theme="1"/>
        <rFont val="Calibri"/>
        <family val="2"/>
        <scheme val="minor"/>
      </rPr>
      <t>SleepTime</t>
    </r>
    <r>
      <rPr>
        <sz val="11"/>
        <color theme="1"/>
        <rFont val="Calibri"/>
        <family val="2"/>
        <scheme val="minor"/>
      </rPr>
      <t xml:space="preserve"> (near 20 hours) compared to Males (near 15 hours).</t>
    </r>
  </si>
  <si>
    <r>
      <t>Age &amp; Playtime:</t>
    </r>
    <r>
      <rPr>
        <sz val="11"/>
        <color theme="1"/>
        <rFont val="Calibri"/>
        <family val="2"/>
        <scheme val="minor"/>
      </rPr>
      <t xml:space="preserve"> There is a clear correlation between age and activity. </t>
    </r>
    <r>
      <rPr>
        <b/>
        <sz val="11"/>
        <color theme="1"/>
        <rFont val="Calibri"/>
        <family val="2"/>
        <scheme val="minor"/>
      </rPr>
      <t>Kittens</t>
    </r>
    <r>
      <rPr>
        <sz val="11"/>
        <color theme="1"/>
        <rFont val="Calibri"/>
        <family val="2"/>
        <scheme val="minor"/>
      </rPr>
      <t xml:space="preserve"> have the highest average playtime (nearly 45 mins), while </t>
    </r>
    <r>
      <rPr>
        <b/>
        <sz val="11"/>
        <color theme="1"/>
        <rFont val="Calibri"/>
        <family val="2"/>
        <scheme val="minor"/>
      </rPr>
      <t>Adults</t>
    </r>
    <r>
      <rPr>
        <sz val="11"/>
        <color theme="1"/>
        <rFont val="Calibri"/>
        <family val="2"/>
        <scheme val="minor"/>
      </rPr>
      <t xml:space="preserve"> and </t>
    </r>
    <r>
      <rPr>
        <b/>
        <sz val="11"/>
        <color theme="1"/>
        <rFont val="Calibri"/>
        <family val="2"/>
        <scheme val="minor"/>
      </rPr>
      <t>Seniors</t>
    </r>
    <r>
      <rPr>
        <sz val="11"/>
        <color theme="1"/>
        <rFont val="Calibri"/>
        <family val="2"/>
        <scheme val="minor"/>
      </rPr>
      <t xml:space="preserve"> drop significantly to under 30 minutes.</t>
    </r>
  </si>
  <si>
    <r>
      <t>Physical Traits:</t>
    </r>
    <r>
      <rPr>
        <sz val="11"/>
        <color theme="1"/>
        <rFont val="Calibri"/>
        <family val="2"/>
        <scheme val="minor"/>
      </rPr>
      <t xml:space="preserve"> </t>
    </r>
    <r>
      <rPr>
        <b/>
        <sz val="11"/>
        <color theme="1"/>
        <rFont val="Calibri"/>
        <family val="2"/>
        <scheme val="minor"/>
      </rPr>
      <t>White</t>
    </r>
    <r>
      <rPr>
        <sz val="11"/>
        <color theme="1"/>
        <rFont val="Calibri"/>
        <family val="2"/>
        <scheme val="minor"/>
      </rPr>
      <t xml:space="preserve"> is the dominant fur colour by a large margin. In terms of weight, </t>
    </r>
    <r>
      <rPr>
        <b/>
        <sz val="11"/>
        <color theme="1"/>
        <rFont val="Calibri"/>
        <family val="2"/>
        <scheme val="minor"/>
      </rPr>
      <t>Males</t>
    </r>
    <r>
      <rPr>
        <sz val="11"/>
        <color theme="1"/>
        <rFont val="Calibri"/>
        <family val="2"/>
        <scheme val="minor"/>
      </rPr>
      <t xml:space="preserve"> are slightly heavier on average than Females.</t>
    </r>
  </si>
  <si>
    <r>
      <t>Lifestyle:</t>
    </r>
    <r>
      <rPr>
        <sz val="11"/>
        <color theme="1"/>
        <rFont val="Calibri"/>
        <family val="2"/>
        <scheme val="minor"/>
      </rPr>
      <t xml:space="preserve"> The vast majority of cats (</t>
    </r>
    <r>
      <rPr>
        <b/>
        <sz val="11"/>
        <color theme="1"/>
        <rFont val="Calibri"/>
        <family val="2"/>
        <scheme val="minor"/>
      </rPr>
      <t>74-83%</t>
    </r>
    <r>
      <rPr>
        <sz val="11"/>
        <color theme="1"/>
        <rFont val="Calibri"/>
        <family val="2"/>
        <scheme val="minor"/>
      </rPr>
      <t xml:space="preserve">) are strictly </t>
    </r>
    <r>
      <rPr>
        <b/>
        <sz val="11"/>
        <color theme="1"/>
        <rFont val="Calibri"/>
        <family val="2"/>
        <scheme val="minor"/>
      </rPr>
      <t>Indoorsy</t>
    </r>
    <r>
      <rPr>
        <sz val="11"/>
        <color theme="1"/>
        <rFont val="Calibri"/>
        <family val="2"/>
        <scheme val="minor"/>
      </rPr>
      <t xml:space="preserve"> (not allowed outdoor access)</t>
    </r>
  </si>
  <si>
    <t>PET BEHAVIOUR ANALYSIS DASHBOARD</t>
  </si>
  <si>
    <t>Fur_Pattern_Final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</si>
</sst>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48"/>
      <color theme="1"/>
      <name val="Bahnschrift SemiBold SemiConden"/>
      <family val="2"/>
    </font>
    <font>
      <b/>
      <sz val="11"/>
      <color rgb="FF006100"/>
      <name val="Calibri"/>
      <family val="2"/>
      <scheme val="minor"/>
    </font>
    <font>
      <b/>
      <sz val="11"/>
      <name val="Calibri"/>
      <family val="2"/>
      <scheme val="minor"/>
    </font>
  </fonts>
  <fills count="9">
    <fill>
      <patternFill patternType="none"/>
    </fill>
    <fill>
      <patternFill patternType="gray125"/>
    </fill>
    <fill>
      <patternFill patternType="solid">
        <fgColor rgb="FFC6EFCE"/>
      </patternFill>
    </fill>
    <fill>
      <patternFill patternType="solid">
        <fgColor theme="9" tint="0.39997558519241921"/>
        <bgColor indexed="65"/>
      </patternFill>
    </fill>
    <fill>
      <patternFill patternType="solid">
        <fgColor rgb="FFFFFFCC"/>
      </patternFill>
    </fill>
    <fill>
      <patternFill patternType="solid">
        <fgColor theme="4" tint="0.59999389629810485"/>
        <bgColor indexed="65"/>
      </patternFill>
    </fill>
    <fill>
      <patternFill patternType="solid">
        <fgColor theme="0" tint="-0.14999847407452621"/>
        <bgColor indexed="64"/>
      </patternFill>
    </fill>
    <fill>
      <patternFill patternType="solid">
        <fgColor theme="8" tint="0.39997558519241921"/>
        <bgColor indexed="64"/>
      </patternFill>
    </fill>
    <fill>
      <patternFill patternType="solid">
        <fgColor theme="2" tint="-9.9978637043366805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5">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1" applyNumberFormat="0" applyFont="0" applyAlignment="0" applyProtection="0"/>
    <xf numFmtId="0" fontId="1" fillId="5" borderId="0" applyNumberFormat="0" applyBorder="0" applyAlignment="0" applyProtection="0"/>
  </cellStyleXfs>
  <cellXfs count="17">
    <xf numFmtId="0" fontId="0" fillId="0" borderId="0" xfId="0"/>
    <xf numFmtId="0" fontId="0" fillId="0" borderId="0" xfId="0" applyAlignment="1">
      <alignment horizontal="center"/>
    </xf>
    <xf numFmtId="0" fontId="2" fillId="2" borderId="0" xfId="1" applyAlignment="1">
      <alignment horizontal="center"/>
    </xf>
    <xf numFmtId="0" fontId="1" fillId="3" borderId="0" xfId="2"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6" borderId="0" xfId="0" applyFill="1"/>
    <xf numFmtId="0" fontId="0" fillId="7" borderId="0" xfId="0" applyFill="1"/>
    <xf numFmtId="0" fontId="0" fillId="8" borderId="0" xfId="0" applyFill="1"/>
    <xf numFmtId="0" fontId="3" fillId="0" borderId="0" xfId="0" applyFont="1"/>
    <xf numFmtId="0" fontId="2" fillId="4" borderId="1" xfId="3" applyFont="1" applyAlignment="1">
      <alignment horizontal="center"/>
    </xf>
    <xf numFmtId="0" fontId="6" fillId="4" borderId="1" xfId="3" applyFont="1" applyAlignment="1">
      <alignment horizontal="center"/>
    </xf>
    <xf numFmtId="0" fontId="3" fillId="0" borderId="0" xfId="0" applyFont="1" applyAlignment="1">
      <alignment horizontal="center"/>
    </xf>
    <xf numFmtId="0" fontId="5" fillId="2" borderId="0" xfId="1" applyFont="1" applyAlignment="1">
      <alignment horizontal="center"/>
    </xf>
    <xf numFmtId="0" fontId="3" fillId="3" borderId="0" xfId="2" applyFont="1" applyAlignment="1">
      <alignment horizontal="center"/>
    </xf>
    <xf numFmtId="0" fontId="4" fillId="7" borderId="0" xfId="4" applyFont="1" applyFill="1" applyAlignment="1">
      <alignment horizontal="center" vertical="center"/>
    </xf>
  </cellXfs>
  <cellStyles count="5">
    <cellStyle name="40% - Accent1" xfId="4" builtinId="31"/>
    <cellStyle name="60% - Accent6" xfId="2" builtinId="52"/>
    <cellStyle name="Good" xfId="1" builtinId="26"/>
    <cellStyle name="Normal" xfId="0" builtinId="0"/>
    <cellStyle name="Note" xfId="3" builtinId="10"/>
  </cellStyles>
  <dxfs count="3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6100"/>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S.xlsx]Weight By Gender!PivotTable15</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Weight by gender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PK"/>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'Weight By Gender'!$B$3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'Weight By Gender'!$A$4:$A$7</c:f>
              <c:strCache>
                <c:ptCount val="3"/>
                <c:pt idx="0">
                  <c:v>Female</c:v>
                </c:pt>
                <c:pt idx="1">
                  <c:v>Male</c:v>
                </c:pt>
                <c:pt idx="2">
                  <c:v>Unknown</c:v>
                </c:pt>
              </c:strCache>
            </c:strRef>
          </c:cat>
          <c:val>
            <c:numRef>
              <c:f>'Weight By Gender'!$B$4:$B$7</c:f>
              <c:numCache>
                <c:formatCode>General</c:formatCode>
                <c:ptCount val="3"/>
                <c:pt idx="0">
                  <c:v>3.4538461538461536</c:v>
                </c:pt>
                <c:pt idx="1">
                  <c:v>3.9157894736842103</c:v>
                </c:pt>
                <c:pt idx="2">
                  <c:v>2.7142857142857144</c:v>
                </c:pt>
              </c:numCache>
            </c:numRef>
          </c:val>
          <c:extLst>
            <c:ext xmlns:c16="http://schemas.microsoft.com/office/drawing/2014/chart" uri="{C3380CC4-5D6E-409C-BE32-E72D297353CC}">
              <c16:uniqueId val="{00000000-475C-43EA-A302-11D5406BE04C}"/>
            </c:ext>
          </c:extLst>
        </c:ser>
        <c:dLbls>
          <c:showLegendKey val="0"/>
          <c:showVal val="0"/>
          <c:showCatName val="0"/>
          <c:showSerName val="0"/>
          <c:showPercent val="0"/>
          <c:showBubbleSize val="0"/>
        </c:dLbls>
        <c:gapWidth val="355"/>
        <c:overlap val="-70"/>
        <c:axId val="1391854831"/>
        <c:axId val="1247661279"/>
      </c:barChart>
      <c:catAx>
        <c:axId val="139185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47661279"/>
        <c:crosses val="autoZero"/>
        <c:auto val="1"/>
        <c:lblAlgn val="ctr"/>
        <c:lblOffset val="100"/>
        <c:noMultiLvlLbl val="0"/>
      </c:catAx>
      <c:valAx>
        <c:axId val="124766127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9185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S.xlsx]Playtime Vs Age Group!PivotTable14</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Playtime Vs Age Group</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PK"/>
        </a:p>
      </c:txPr>
    </c:title>
    <c:autoTitleDeleted val="0"/>
    <c:pivotFmts>
      <c:pivotFmt>
        <c:idx val="0"/>
        <c:spPr>
          <a:solidFill>
            <a:schemeClr val="accent1"/>
          </a:solidFill>
          <a:ln>
            <a:noFill/>
          </a:ln>
          <a:effectLst/>
        </c:spPr>
        <c:marker>
          <c:symbol val="none"/>
        </c:marker>
      </c:pivotFmt>
    </c:pivotFmts>
    <c:plotArea>
      <c:layout/>
      <c:barChart>
        <c:barDir val="bar"/>
        <c:grouping val="stacked"/>
        <c:varyColors val="0"/>
        <c:ser>
          <c:idx val="0"/>
          <c:order val="0"/>
          <c:tx>
            <c:strRef>
              <c:f>'Playtime Vs Age Group'!$B$3</c:f>
              <c:strCache>
                <c:ptCount val="1"/>
                <c:pt idx="0">
                  <c:v>Total</c:v>
                </c:pt>
              </c:strCache>
            </c:strRef>
          </c:tx>
          <c:spPr>
            <a:solidFill>
              <a:schemeClr val="accent1"/>
            </a:solidFill>
            <a:ln>
              <a:noFill/>
            </a:ln>
            <a:effectLst/>
          </c:spPr>
          <c:invertIfNegative val="0"/>
          <c:cat>
            <c:strRef>
              <c:f>'Playtime Vs Age Group'!$A$4:$A$8</c:f>
              <c:strCache>
                <c:ptCount val="4"/>
                <c:pt idx="0">
                  <c:v>Adult</c:v>
                </c:pt>
                <c:pt idx="1">
                  <c:v>Kitten</c:v>
                </c:pt>
                <c:pt idx="2">
                  <c:v>Senior</c:v>
                </c:pt>
                <c:pt idx="3">
                  <c:v>Young</c:v>
                </c:pt>
              </c:strCache>
            </c:strRef>
          </c:cat>
          <c:val>
            <c:numRef>
              <c:f>'Playtime Vs Age Group'!$B$4:$B$8</c:f>
              <c:numCache>
                <c:formatCode>General</c:formatCode>
                <c:ptCount val="4"/>
                <c:pt idx="0">
                  <c:v>19.666666666666668</c:v>
                </c:pt>
                <c:pt idx="1">
                  <c:v>36.909090909090907</c:v>
                </c:pt>
                <c:pt idx="2">
                  <c:v>20</c:v>
                </c:pt>
                <c:pt idx="3">
                  <c:v>25.818181818181817</c:v>
                </c:pt>
              </c:numCache>
            </c:numRef>
          </c:val>
          <c:extLst>
            <c:ext xmlns:c16="http://schemas.microsoft.com/office/drawing/2014/chart" uri="{C3380CC4-5D6E-409C-BE32-E72D297353CC}">
              <c16:uniqueId val="{00000000-0504-402A-B540-47375E540F5B}"/>
            </c:ext>
          </c:extLst>
        </c:ser>
        <c:dLbls>
          <c:showLegendKey val="0"/>
          <c:showVal val="0"/>
          <c:showCatName val="0"/>
          <c:showSerName val="0"/>
          <c:showPercent val="0"/>
          <c:showBubbleSize val="0"/>
        </c:dLbls>
        <c:gapWidth val="150"/>
        <c:overlap val="100"/>
        <c:axId val="1391850831"/>
        <c:axId val="1247658367"/>
      </c:barChart>
      <c:catAx>
        <c:axId val="139185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PK"/>
          </a:p>
        </c:txPr>
        <c:crossAx val="1247658367"/>
        <c:crosses val="autoZero"/>
        <c:auto val="1"/>
        <c:lblAlgn val="ctr"/>
        <c:lblOffset val="100"/>
        <c:noMultiLvlLbl val="0"/>
      </c:catAx>
      <c:valAx>
        <c:axId val="124765836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9185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S.xlsx]Gender Distribution By EyeColor!PivotTable12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 by Eye</a:t>
            </a:r>
            <a:r>
              <a:rPr lang="en-US" baseline="0"/>
              <a:t> Colour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s>
    <c:plotArea>
      <c:layout/>
      <c:barChart>
        <c:barDir val="col"/>
        <c:grouping val="clustered"/>
        <c:varyColors val="0"/>
        <c:ser>
          <c:idx val="0"/>
          <c:order val="0"/>
          <c:tx>
            <c:strRef>
              <c:f>'Gender Distribution By EyeColor'!$B$3:$B$4</c:f>
              <c:strCache>
                <c:ptCount val="1"/>
                <c:pt idx="0">
                  <c:v>Amber</c:v>
                </c:pt>
              </c:strCache>
            </c:strRef>
          </c:tx>
          <c:spPr>
            <a:solidFill>
              <a:schemeClr val="accent1"/>
            </a:solidFill>
            <a:ln>
              <a:noFill/>
            </a:ln>
            <a:effectLst/>
          </c:spPr>
          <c:invertIfNegative val="0"/>
          <c:cat>
            <c:strRef>
              <c:f>'Gender Distribution By EyeColor'!$A$5:$A$8</c:f>
              <c:strCache>
                <c:ptCount val="3"/>
                <c:pt idx="0">
                  <c:v>Female</c:v>
                </c:pt>
                <c:pt idx="1">
                  <c:v>Male</c:v>
                </c:pt>
                <c:pt idx="2">
                  <c:v>Unknown</c:v>
                </c:pt>
              </c:strCache>
            </c:strRef>
          </c:cat>
          <c:val>
            <c:numRef>
              <c:f>'Gender Distribution By EyeColor'!$B$5:$B$8</c:f>
              <c:numCache>
                <c:formatCode>General</c:formatCode>
                <c:ptCount val="3"/>
                <c:pt idx="0">
                  <c:v>3</c:v>
                </c:pt>
                <c:pt idx="1">
                  <c:v>4</c:v>
                </c:pt>
                <c:pt idx="2">
                  <c:v>1</c:v>
                </c:pt>
              </c:numCache>
            </c:numRef>
          </c:val>
          <c:extLst>
            <c:ext xmlns:c16="http://schemas.microsoft.com/office/drawing/2014/chart" uri="{C3380CC4-5D6E-409C-BE32-E72D297353CC}">
              <c16:uniqueId val="{00000000-6105-46C6-95AF-C257EEAE5AE6}"/>
            </c:ext>
          </c:extLst>
        </c:ser>
        <c:ser>
          <c:idx val="1"/>
          <c:order val="1"/>
          <c:tx>
            <c:strRef>
              <c:f>'Gender Distribution By EyeColor'!$C$3:$C$4</c:f>
              <c:strCache>
                <c:ptCount val="1"/>
                <c:pt idx="0">
                  <c:v>Blue</c:v>
                </c:pt>
              </c:strCache>
            </c:strRef>
          </c:tx>
          <c:spPr>
            <a:solidFill>
              <a:schemeClr val="accent2"/>
            </a:solidFill>
            <a:ln>
              <a:noFill/>
            </a:ln>
            <a:effectLst/>
          </c:spPr>
          <c:invertIfNegative val="0"/>
          <c:cat>
            <c:strRef>
              <c:f>'Gender Distribution By EyeColor'!$A$5:$A$8</c:f>
              <c:strCache>
                <c:ptCount val="3"/>
                <c:pt idx="0">
                  <c:v>Female</c:v>
                </c:pt>
                <c:pt idx="1">
                  <c:v>Male</c:v>
                </c:pt>
                <c:pt idx="2">
                  <c:v>Unknown</c:v>
                </c:pt>
              </c:strCache>
            </c:strRef>
          </c:cat>
          <c:val>
            <c:numRef>
              <c:f>'Gender Distribution By EyeColor'!$C$5:$C$8</c:f>
              <c:numCache>
                <c:formatCode>General</c:formatCode>
                <c:ptCount val="3"/>
                <c:pt idx="0">
                  <c:v>5</c:v>
                </c:pt>
                <c:pt idx="1">
                  <c:v>7</c:v>
                </c:pt>
                <c:pt idx="2">
                  <c:v>1</c:v>
                </c:pt>
              </c:numCache>
            </c:numRef>
          </c:val>
          <c:extLst>
            <c:ext xmlns:c16="http://schemas.microsoft.com/office/drawing/2014/chart" uri="{C3380CC4-5D6E-409C-BE32-E72D297353CC}">
              <c16:uniqueId val="{00000002-07AC-4B2C-9080-4BBC8590564F}"/>
            </c:ext>
          </c:extLst>
        </c:ser>
        <c:ser>
          <c:idx val="2"/>
          <c:order val="2"/>
          <c:tx>
            <c:strRef>
              <c:f>'Gender Distribution By EyeColor'!$D$3:$D$4</c:f>
              <c:strCache>
                <c:ptCount val="1"/>
                <c:pt idx="0">
                  <c:v>Green</c:v>
                </c:pt>
              </c:strCache>
            </c:strRef>
          </c:tx>
          <c:spPr>
            <a:solidFill>
              <a:schemeClr val="accent3"/>
            </a:solidFill>
            <a:ln>
              <a:noFill/>
            </a:ln>
            <a:effectLst/>
          </c:spPr>
          <c:invertIfNegative val="0"/>
          <c:cat>
            <c:strRef>
              <c:f>'Gender Distribution By EyeColor'!$A$5:$A$8</c:f>
              <c:strCache>
                <c:ptCount val="3"/>
                <c:pt idx="0">
                  <c:v>Female</c:v>
                </c:pt>
                <c:pt idx="1">
                  <c:v>Male</c:v>
                </c:pt>
                <c:pt idx="2">
                  <c:v>Unknown</c:v>
                </c:pt>
              </c:strCache>
            </c:strRef>
          </c:cat>
          <c:val>
            <c:numRef>
              <c:f>'Gender Distribution By EyeColor'!$D$5:$D$8</c:f>
              <c:numCache>
                <c:formatCode>General</c:formatCode>
                <c:ptCount val="3"/>
                <c:pt idx="0">
                  <c:v>1</c:v>
                </c:pt>
                <c:pt idx="1">
                  <c:v>3</c:v>
                </c:pt>
                <c:pt idx="2">
                  <c:v>3</c:v>
                </c:pt>
              </c:numCache>
            </c:numRef>
          </c:val>
          <c:extLst>
            <c:ext xmlns:c16="http://schemas.microsoft.com/office/drawing/2014/chart" uri="{C3380CC4-5D6E-409C-BE32-E72D297353CC}">
              <c16:uniqueId val="{00000005-07AC-4B2C-9080-4BBC8590564F}"/>
            </c:ext>
          </c:extLst>
        </c:ser>
        <c:ser>
          <c:idx val="3"/>
          <c:order val="3"/>
          <c:tx>
            <c:strRef>
              <c:f>'Gender Distribution By EyeColor'!$E$3:$E$4</c:f>
              <c:strCache>
                <c:ptCount val="1"/>
                <c:pt idx="0">
                  <c:v>Unknown</c:v>
                </c:pt>
              </c:strCache>
            </c:strRef>
          </c:tx>
          <c:spPr>
            <a:solidFill>
              <a:schemeClr val="accent4"/>
            </a:solidFill>
            <a:ln>
              <a:noFill/>
            </a:ln>
            <a:effectLst/>
          </c:spPr>
          <c:invertIfNegative val="0"/>
          <c:cat>
            <c:strRef>
              <c:f>'Gender Distribution By EyeColor'!$A$5:$A$8</c:f>
              <c:strCache>
                <c:ptCount val="3"/>
                <c:pt idx="0">
                  <c:v>Female</c:v>
                </c:pt>
                <c:pt idx="1">
                  <c:v>Male</c:v>
                </c:pt>
                <c:pt idx="2">
                  <c:v>Unknown</c:v>
                </c:pt>
              </c:strCache>
            </c:strRef>
          </c:cat>
          <c:val>
            <c:numRef>
              <c:f>'Gender Distribution By EyeColor'!$E$5:$E$8</c:f>
              <c:numCache>
                <c:formatCode>General</c:formatCode>
                <c:ptCount val="3"/>
                <c:pt idx="0">
                  <c:v>4</c:v>
                </c:pt>
                <c:pt idx="1">
                  <c:v>5</c:v>
                </c:pt>
                <c:pt idx="2">
                  <c:v>2</c:v>
                </c:pt>
              </c:numCache>
            </c:numRef>
          </c:val>
          <c:extLst>
            <c:ext xmlns:c16="http://schemas.microsoft.com/office/drawing/2014/chart" uri="{C3380CC4-5D6E-409C-BE32-E72D297353CC}">
              <c16:uniqueId val="{00000006-07AC-4B2C-9080-4BBC8590564F}"/>
            </c:ext>
          </c:extLst>
        </c:ser>
        <c:dLbls>
          <c:showLegendKey val="0"/>
          <c:showVal val="0"/>
          <c:showCatName val="0"/>
          <c:showSerName val="0"/>
          <c:showPercent val="0"/>
          <c:showBubbleSize val="0"/>
        </c:dLbls>
        <c:gapWidth val="219"/>
        <c:overlap val="-27"/>
        <c:axId val="1113738319"/>
        <c:axId val="1222801759"/>
      </c:barChart>
      <c:catAx>
        <c:axId val="111373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22801759"/>
        <c:crosses val="autoZero"/>
        <c:auto val="1"/>
        <c:lblAlgn val="ctr"/>
        <c:lblOffset val="100"/>
        <c:noMultiLvlLbl val="0"/>
      </c:catAx>
      <c:valAx>
        <c:axId val="122280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1373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S.xlsx]Gender Distribution!PivotTable2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'Gender 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5BA-404D-B72A-9E200EE8C8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5BA-404D-B72A-9E200EE8C8A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5BA-404D-B72A-9E200EE8C8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Distribution'!$A$4:$A$7</c:f>
              <c:strCache>
                <c:ptCount val="3"/>
                <c:pt idx="0">
                  <c:v>Female</c:v>
                </c:pt>
                <c:pt idx="1">
                  <c:v>Male</c:v>
                </c:pt>
                <c:pt idx="2">
                  <c:v>Unknown</c:v>
                </c:pt>
              </c:strCache>
            </c:strRef>
          </c:cat>
          <c:val>
            <c:numRef>
              <c:f>'Gender Distribution'!$B$4:$B$7</c:f>
              <c:numCache>
                <c:formatCode>General</c:formatCode>
                <c:ptCount val="3"/>
                <c:pt idx="0">
                  <c:v>13</c:v>
                </c:pt>
                <c:pt idx="1">
                  <c:v>19</c:v>
                </c:pt>
                <c:pt idx="2">
                  <c:v>7</c:v>
                </c:pt>
              </c:numCache>
            </c:numRef>
          </c:val>
          <c:extLst>
            <c:ext xmlns:c16="http://schemas.microsoft.com/office/drawing/2014/chart" uri="{C3380CC4-5D6E-409C-BE32-E72D297353CC}">
              <c16:uniqueId val="{00000000-CFF0-444E-883A-E4FFC6435C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S.xlsx]Age Group Distribution!PivotTable3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PK"/>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'Age Group Distribution'!$B$3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 Distribution'!$A$4:$A$8</c:f>
              <c:strCache>
                <c:ptCount val="4"/>
                <c:pt idx="0">
                  <c:v>Adult</c:v>
                </c:pt>
                <c:pt idx="1">
                  <c:v>Kitten</c:v>
                </c:pt>
                <c:pt idx="2">
                  <c:v>Senior</c:v>
                </c:pt>
                <c:pt idx="3">
                  <c:v>Young</c:v>
                </c:pt>
              </c:strCache>
            </c:strRef>
          </c:cat>
          <c:val>
            <c:numRef>
              <c:f>'Age Group Distribution'!$B$4:$B$8</c:f>
              <c:numCache>
                <c:formatCode>General</c:formatCode>
                <c:ptCount val="4"/>
                <c:pt idx="0">
                  <c:v>3</c:v>
                </c:pt>
                <c:pt idx="1">
                  <c:v>24</c:v>
                </c:pt>
                <c:pt idx="2">
                  <c:v>1</c:v>
                </c:pt>
                <c:pt idx="3">
                  <c:v>11</c:v>
                </c:pt>
              </c:numCache>
            </c:numRef>
          </c:val>
          <c:extLst>
            <c:ext xmlns:c16="http://schemas.microsoft.com/office/drawing/2014/chart" uri="{C3380CC4-5D6E-409C-BE32-E72D297353CC}">
              <c16:uniqueId val="{00000000-B169-47E7-947B-667D2B559E21}"/>
            </c:ext>
          </c:extLst>
        </c:ser>
        <c:dLbls>
          <c:showLegendKey val="0"/>
          <c:showVal val="0"/>
          <c:showCatName val="0"/>
          <c:showSerName val="0"/>
          <c:showPercent val="0"/>
          <c:showBubbleSize val="0"/>
        </c:dLbls>
        <c:gapWidth val="115"/>
        <c:overlap val="-20"/>
        <c:axId val="925185887"/>
        <c:axId val="925284447"/>
      </c:barChart>
      <c:catAx>
        <c:axId val="9251858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25284447"/>
        <c:crosses val="autoZero"/>
        <c:auto val="1"/>
        <c:lblAlgn val="ctr"/>
        <c:lblOffset val="100"/>
        <c:noMultiLvlLbl val="0"/>
      </c:catAx>
      <c:valAx>
        <c:axId val="92528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2518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S.xlsx]Fur Colour!PivotTable4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Fur Colour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PK"/>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'Fur Colour'!$B$3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'Fur Colour'!$A$4:$A$8</c:f>
              <c:strCache>
                <c:ptCount val="4"/>
                <c:pt idx="0">
                  <c:v>Black</c:v>
                </c:pt>
                <c:pt idx="1">
                  <c:v>Red/Cream</c:v>
                </c:pt>
                <c:pt idx="2">
                  <c:v>Unknown</c:v>
                </c:pt>
                <c:pt idx="3">
                  <c:v>White</c:v>
                </c:pt>
              </c:strCache>
            </c:strRef>
          </c:cat>
          <c:val>
            <c:numRef>
              <c:f>'Fur Colour'!$B$4:$B$8</c:f>
              <c:numCache>
                <c:formatCode>General</c:formatCode>
                <c:ptCount val="4"/>
                <c:pt idx="0">
                  <c:v>6</c:v>
                </c:pt>
                <c:pt idx="1">
                  <c:v>4</c:v>
                </c:pt>
                <c:pt idx="2">
                  <c:v>2</c:v>
                </c:pt>
                <c:pt idx="3">
                  <c:v>27</c:v>
                </c:pt>
              </c:numCache>
            </c:numRef>
          </c:val>
          <c:extLst>
            <c:ext xmlns:c16="http://schemas.microsoft.com/office/drawing/2014/chart" uri="{C3380CC4-5D6E-409C-BE32-E72D297353CC}">
              <c16:uniqueId val="{00000000-30C6-47F7-A2F3-F76870FCEEE2}"/>
            </c:ext>
          </c:extLst>
        </c:ser>
        <c:dLbls>
          <c:showLegendKey val="0"/>
          <c:showVal val="0"/>
          <c:showCatName val="0"/>
          <c:showSerName val="0"/>
          <c:showPercent val="0"/>
          <c:showBubbleSize val="0"/>
        </c:dLbls>
        <c:gapWidth val="150"/>
        <c:shape val="box"/>
        <c:axId val="1057934095"/>
        <c:axId val="925282783"/>
        <c:axId val="0"/>
      </c:bar3DChart>
      <c:catAx>
        <c:axId val="1057934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25282783"/>
        <c:crosses val="autoZero"/>
        <c:auto val="1"/>
        <c:lblAlgn val="ctr"/>
        <c:lblOffset val="100"/>
        <c:noMultiLvlLbl val="0"/>
      </c:catAx>
      <c:valAx>
        <c:axId val="92528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5793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S.xlsx]Avg Sleep Time!PivotTable5</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SleepTime Distribution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PK"/>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'Avg Sleep Time'!$B$3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'Avg Sleep Time'!$A$4:$A$7</c:f>
              <c:strCache>
                <c:ptCount val="3"/>
                <c:pt idx="0">
                  <c:v>Female</c:v>
                </c:pt>
                <c:pt idx="1">
                  <c:v>Male</c:v>
                </c:pt>
                <c:pt idx="2">
                  <c:v>Unknown</c:v>
                </c:pt>
              </c:strCache>
            </c:strRef>
          </c:cat>
          <c:val>
            <c:numRef>
              <c:f>'Avg Sleep Time'!$B$4:$B$7</c:f>
              <c:numCache>
                <c:formatCode>General</c:formatCode>
                <c:ptCount val="3"/>
                <c:pt idx="0">
                  <c:v>18.53846153846154</c:v>
                </c:pt>
                <c:pt idx="1">
                  <c:v>15.764705882352942</c:v>
                </c:pt>
                <c:pt idx="2">
                  <c:v>11</c:v>
                </c:pt>
              </c:numCache>
            </c:numRef>
          </c:val>
          <c:extLst>
            <c:ext xmlns:c16="http://schemas.microsoft.com/office/drawing/2014/chart" uri="{C3380CC4-5D6E-409C-BE32-E72D297353CC}">
              <c16:uniqueId val="{00000000-CFC0-4B87-916F-E9617CE0D9AE}"/>
            </c:ext>
          </c:extLst>
        </c:ser>
        <c:dLbls>
          <c:showLegendKey val="0"/>
          <c:showVal val="0"/>
          <c:showCatName val="0"/>
          <c:showSerName val="0"/>
          <c:showPercent val="0"/>
          <c:showBubbleSize val="0"/>
        </c:dLbls>
        <c:gapWidth val="355"/>
        <c:overlap val="-70"/>
        <c:axId val="1110240799"/>
        <c:axId val="1110370847"/>
      </c:barChart>
      <c:catAx>
        <c:axId val="111024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10370847"/>
        <c:crosses val="autoZero"/>
        <c:auto val="1"/>
        <c:lblAlgn val="ctr"/>
        <c:lblOffset val="100"/>
        <c:noMultiLvlLbl val="0"/>
      </c:catAx>
      <c:valAx>
        <c:axId val="111037084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1024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S.xlsx]Avg Playtime By Gender!PivotTable7</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Playtime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'Avg Playtime By Gender'!$B$3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636-43B5-B404-8D8B452CFA7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636-43B5-B404-8D8B452CFA7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636-43B5-B404-8D8B452CFA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Playtime By Gender'!$A$4:$A$7</c:f>
              <c:strCache>
                <c:ptCount val="3"/>
                <c:pt idx="0">
                  <c:v>Female</c:v>
                </c:pt>
                <c:pt idx="1">
                  <c:v>Male</c:v>
                </c:pt>
                <c:pt idx="2">
                  <c:v>Unknown</c:v>
                </c:pt>
              </c:strCache>
            </c:strRef>
          </c:cat>
          <c:val>
            <c:numRef>
              <c:f>'Avg Playtime By Gender'!$B$4:$B$7</c:f>
              <c:numCache>
                <c:formatCode>General</c:formatCode>
                <c:ptCount val="3"/>
                <c:pt idx="0">
                  <c:v>26.153846153846153</c:v>
                </c:pt>
                <c:pt idx="1">
                  <c:v>32.352941176470587</c:v>
                </c:pt>
                <c:pt idx="2">
                  <c:v>40.714285714285715</c:v>
                </c:pt>
              </c:numCache>
            </c:numRef>
          </c:val>
          <c:extLst>
            <c:ext xmlns:c16="http://schemas.microsoft.com/office/drawing/2014/chart" uri="{C3380CC4-5D6E-409C-BE32-E72D297353CC}">
              <c16:uniqueId val="{00000000-0956-4576-90E4-AC955B4BA5C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S.xlsx]Outdoor vs Indoorsy!PivotTable6</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Outdoorsy vs indoorsy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PK"/>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'Outdoor vs Indoorsy'!$B$3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'Outdoor vs Indoorsy'!$A$4:$A$7</c:f>
              <c:strCache>
                <c:ptCount val="3"/>
                <c:pt idx="0">
                  <c:v>No</c:v>
                </c:pt>
                <c:pt idx="1">
                  <c:v>Yes</c:v>
                </c:pt>
                <c:pt idx="2">
                  <c:v>N/A</c:v>
                </c:pt>
              </c:strCache>
            </c:strRef>
          </c:cat>
          <c:val>
            <c:numRef>
              <c:f>'Outdoor vs Indoorsy'!$B$4:$B$7</c:f>
              <c:numCache>
                <c:formatCode>General</c:formatCode>
                <c:ptCount val="3"/>
                <c:pt idx="0">
                  <c:v>29</c:v>
                </c:pt>
                <c:pt idx="1">
                  <c:v>6</c:v>
                </c:pt>
                <c:pt idx="2">
                  <c:v>4</c:v>
                </c:pt>
              </c:numCache>
            </c:numRef>
          </c:val>
          <c:extLst>
            <c:ext xmlns:c16="http://schemas.microsoft.com/office/drawing/2014/chart" uri="{C3380CC4-5D6E-409C-BE32-E72D297353CC}">
              <c16:uniqueId val="{00000000-ED0E-41FA-BEFA-F58F1A8C60B9}"/>
            </c:ext>
          </c:extLst>
        </c:ser>
        <c:dLbls>
          <c:showLegendKey val="0"/>
          <c:showVal val="0"/>
          <c:showCatName val="0"/>
          <c:showSerName val="0"/>
          <c:showPercent val="0"/>
          <c:showBubbleSize val="0"/>
        </c:dLbls>
        <c:gapWidth val="100"/>
        <c:axId val="1064884591"/>
        <c:axId val="1110378751"/>
      </c:barChart>
      <c:valAx>
        <c:axId val="111037875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064884591"/>
        <c:crosses val="autoZero"/>
        <c:crossBetween val="between"/>
      </c:valAx>
      <c:catAx>
        <c:axId val="106488459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1103787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S.xlsx]Gender Distribution!PivotTable2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'Gender 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9B-4BB9-A18B-D636BC7A8F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9B-4BB9-A18B-D636BC7A8F1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69B-4BB9-A18B-D636BC7A8F1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69B-4BB9-A18B-D636BC7A8F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Distribution'!$A$4:$A$7</c:f>
              <c:strCache>
                <c:ptCount val="3"/>
                <c:pt idx="0">
                  <c:v>Female</c:v>
                </c:pt>
                <c:pt idx="1">
                  <c:v>Male</c:v>
                </c:pt>
                <c:pt idx="2">
                  <c:v>Unknown</c:v>
                </c:pt>
              </c:strCache>
            </c:strRef>
          </c:cat>
          <c:val>
            <c:numRef>
              <c:f>'Gender Distribution'!$B$4:$B$7</c:f>
              <c:numCache>
                <c:formatCode>General</c:formatCode>
                <c:ptCount val="3"/>
                <c:pt idx="0">
                  <c:v>13</c:v>
                </c:pt>
                <c:pt idx="1">
                  <c:v>19</c:v>
                </c:pt>
                <c:pt idx="2">
                  <c:v>7</c:v>
                </c:pt>
              </c:numCache>
            </c:numRef>
          </c:val>
          <c:extLst>
            <c:ext xmlns:c16="http://schemas.microsoft.com/office/drawing/2014/chart" uri="{C3380CC4-5D6E-409C-BE32-E72D297353CC}">
              <c16:uniqueId val="{00000008-E69B-4BB9-A18B-D636BC7A8F1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S.xlsx]Age Group Distribution!PivotTable3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PK"/>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Distribution'!$B$3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Distribution'!$A$4:$A$8</c:f>
              <c:strCache>
                <c:ptCount val="4"/>
                <c:pt idx="0">
                  <c:v>Adult</c:v>
                </c:pt>
                <c:pt idx="1">
                  <c:v>Kitten</c:v>
                </c:pt>
                <c:pt idx="2">
                  <c:v>Senior</c:v>
                </c:pt>
                <c:pt idx="3">
                  <c:v>Young</c:v>
                </c:pt>
              </c:strCache>
            </c:strRef>
          </c:cat>
          <c:val>
            <c:numRef>
              <c:f>'Age Group Distribution'!$B$4:$B$8</c:f>
              <c:numCache>
                <c:formatCode>General</c:formatCode>
                <c:ptCount val="4"/>
                <c:pt idx="0">
                  <c:v>3</c:v>
                </c:pt>
                <c:pt idx="1">
                  <c:v>24</c:v>
                </c:pt>
                <c:pt idx="2">
                  <c:v>1</c:v>
                </c:pt>
                <c:pt idx="3">
                  <c:v>11</c:v>
                </c:pt>
              </c:numCache>
            </c:numRef>
          </c:val>
          <c:extLst>
            <c:ext xmlns:c16="http://schemas.microsoft.com/office/drawing/2014/chart" uri="{C3380CC4-5D6E-409C-BE32-E72D297353CC}">
              <c16:uniqueId val="{00000000-F48C-44D9-BAA7-78BF7B9F4673}"/>
            </c:ext>
          </c:extLst>
        </c:ser>
        <c:dLbls>
          <c:dLblPos val="outEnd"/>
          <c:showLegendKey val="0"/>
          <c:showVal val="1"/>
          <c:showCatName val="0"/>
          <c:showSerName val="0"/>
          <c:showPercent val="0"/>
          <c:showBubbleSize val="0"/>
        </c:dLbls>
        <c:gapWidth val="115"/>
        <c:overlap val="-20"/>
        <c:axId val="925185887"/>
        <c:axId val="925284447"/>
      </c:barChart>
      <c:catAx>
        <c:axId val="9251858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25284447"/>
        <c:crosses val="autoZero"/>
        <c:auto val="1"/>
        <c:lblAlgn val="ctr"/>
        <c:lblOffset val="100"/>
        <c:noMultiLvlLbl val="0"/>
      </c:catAx>
      <c:valAx>
        <c:axId val="92528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2518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S.xlsx]Avg Sleep Time!PivotTable5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SleepTime</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'Avg Sleep 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'Avg Sleep Time'!$A$4:$A$7</c:f>
              <c:strCache>
                <c:ptCount val="3"/>
                <c:pt idx="0">
                  <c:v>Female</c:v>
                </c:pt>
                <c:pt idx="1">
                  <c:v>Male</c:v>
                </c:pt>
                <c:pt idx="2">
                  <c:v>Unknown</c:v>
                </c:pt>
              </c:strCache>
            </c:strRef>
          </c:cat>
          <c:val>
            <c:numRef>
              <c:f>'Avg Sleep Time'!$B$4:$B$7</c:f>
              <c:numCache>
                <c:formatCode>General</c:formatCode>
                <c:ptCount val="3"/>
                <c:pt idx="0">
                  <c:v>18.53846153846154</c:v>
                </c:pt>
                <c:pt idx="1">
                  <c:v>15.764705882352942</c:v>
                </c:pt>
                <c:pt idx="2">
                  <c:v>11</c:v>
                </c:pt>
              </c:numCache>
            </c:numRef>
          </c:val>
          <c:smooth val="0"/>
          <c:extLst>
            <c:ext xmlns:c16="http://schemas.microsoft.com/office/drawing/2014/chart" uri="{C3380CC4-5D6E-409C-BE32-E72D297353CC}">
              <c16:uniqueId val="{00000000-EABD-49C3-B0A1-D48E6DA160A3}"/>
            </c:ext>
          </c:extLst>
        </c:ser>
        <c:dLbls>
          <c:showLegendKey val="0"/>
          <c:showVal val="0"/>
          <c:showCatName val="0"/>
          <c:showSerName val="0"/>
          <c:showPercent val="0"/>
          <c:showBubbleSize val="0"/>
        </c:dLbls>
        <c:marker val="1"/>
        <c:smooth val="0"/>
        <c:axId val="1110240799"/>
        <c:axId val="1110370847"/>
      </c:lineChart>
      <c:catAx>
        <c:axId val="111024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10370847"/>
        <c:crosses val="autoZero"/>
        <c:auto val="1"/>
        <c:lblAlgn val="ctr"/>
        <c:lblOffset val="100"/>
        <c:noMultiLvlLbl val="0"/>
      </c:catAx>
      <c:valAx>
        <c:axId val="111037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1024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S.xlsx]Avg Playtime By Gender!PivotTable7</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Owner</a:t>
            </a:r>
            <a:r>
              <a:rPr lang="en-US" baseline="0"/>
              <a:t> average playtime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'Avg Playtime By Gender'!$B$3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F20-4072-B6A0-D16A249DDE1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F20-4072-B6A0-D16A249DDE1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F20-4072-B6A0-D16A249DDE1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F20-4072-B6A0-D16A249DDE1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Playtime By Gender'!$A$4:$A$7</c:f>
              <c:strCache>
                <c:ptCount val="3"/>
                <c:pt idx="0">
                  <c:v>Female</c:v>
                </c:pt>
                <c:pt idx="1">
                  <c:v>Male</c:v>
                </c:pt>
                <c:pt idx="2">
                  <c:v>Unknown</c:v>
                </c:pt>
              </c:strCache>
            </c:strRef>
          </c:cat>
          <c:val>
            <c:numRef>
              <c:f>'Avg Playtime By Gender'!$B$4:$B$7</c:f>
              <c:numCache>
                <c:formatCode>General</c:formatCode>
                <c:ptCount val="3"/>
                <c:pt idx="0">
                  <c:v>26.153846153846153</c:v>
                </c:pt>
                <c:pt idx="1">
                  <c:v>32.352941176470587</c:v>
                </c:pt>
                <c:pt idx="2">
                  <c:v>40.714285714285715</c:v>
                </c:pt>
              </c:numCache>
            </c:numRef>
          </c:val>
          <c:extLst>
            <c:ext xmlns:c16="http://schemas.microsoft.com/office/drawing/2014/chart" uri="{C3380CC4-5D6E-409C-BE32-E72D297353CC}">
              <c16:uniqueId val="{00000008-9F20-4072-B6A0-D16A249DDE1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S.xlsx]Gender Distribution By EyeColor!PivotTable12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col"/>
        <c:grouping val="clustered"/>
        <c:varyColors val="0"/>
        <c:ser>
          <c:idx val="0"/>
          <c:order val="0"/>
          <c:tx>
            <c:strRef>
              <c:f>'Gender Distribution By EyeColor'!$B$3:$B$4</c:f>
              <c:strCache>
                <c:ptCount val="1"/>
                <c:pt idx="0">
                  <c:v>Amber</c:v>
                </c:pt>
              </c:strCache>
            </c:strRef>
          </c:tx>
          <c:spPr>
            <a:solidFill>
              <a:schemeClr val="accent1"/>
            </a:solidFill>
            <a:ln>
              <a:noFill/>
            </a:ln>
            <a:effectLst/>
          </c:spPr>
          <c:invertIfNegative val="0"/>
          <c:cat>
            <c:strRef>
              <c:f>'Gender Distribution By EyeColor'!$A$5:$A$8</c:f>
              <c:strCache>
                <c:ptCount val="3"/>
                <c:pt idx="0">
                  <c:v>Female</c:v>
                </c:pt>
                <c:pt idx="1">
                  <c:v>Male</c:v>
                </c:pt>
                <c:pt idx="2">
                  <c:v>Unknown</c:v>
                </c:pt>
              </c:strCache>
            </c:strRef>
          </c:cat>
          <c:val>
            <c:numRef>
              <c:f>'Gender Distribution By EyeColor'!$B$5:$B$8</c:f>
              <c:numCache>
                <c:formatCode>General</c:formatCode>
                <c:ptCount val="3"/>
                <c:pt idx="0">
                  <c:v>3</c:v>
                </c:pt>
                <c:pt idx="1">
                  <c:v>4</c:v>
                </c:pt>
                <c:pt idx="2">
                  <c:v>1</c:v>
                </c:pt>
              </c:numCache>
            </c:numRef>
          </c:val>
          <c:extLst>
            <c:ext xmlns:c16="http://schemas.microsoft.com/office/drawing/2014/chart" uri="{C3380CC4-5D6E-409C-BE32-E72D297353CC}">
              <c16:uniqueId val="{00000000-3CD0-4EC7-A31F-E2DAF1709D8A}"/>
            </c:ext>
          </c:extLst>
        </c:ser>
        <c:ser>
          <c:idx val="1"/>
          <c:order val="1"/>
          <c:tx>
            <c:strRef>
              <c:f>'Gender Distribution By EyeColor'!$C$3:$C$4</c:f>
              <c:strCache>
                <c:ptCount val="1"/>
                <c:pt idx="0">
                  <c:v>Blue</c:v>
                </c:pt>
              </c:strCache>
            </c:strRef>
          </c:tx>
          <c:spPr>
            <a:solidFill>
              <a:schemeClr val="accent2"/>
            </a:solidFill>
            <a:ln>
              <a:noFill/>
            </a:ln>
            <a:effectLst/>
          </c:spPr>
          <c:invertIfNegative val="0"/>
          <c:cat>
            <c:strRef>
              <c:f>'Gender Distribution By EyeColor'!$A$5:$A$8</c:f>
              <c:strCache>
                <c:ptCount val="3"/>
                <c:pt idx="0">
                  <c:v>Female</c:v>
                </c:pt>
                <c:pt idx="1">
                  <c:v>Male</c:v>
                </c:pt>
                <c:pt idx="2">
                  <c:v>Unknown</c:v>
                </c:pt>
              </c:strCache>
            </c:strRef>
          </c:cat>
          <c:val>
            <c:numRef>
              <c:f>'Gender Distribution By EyeColor'!$C$5:$C$8</c:f>
              <c:numCache>
                <c:formatCode>General</c:formatCode>
                <c:ptCount val="3"/>
                <c:pt idx="0">
                  <c:v>5</c:v>
                </c:pt>
                <c:pt idx="1">
                  <c:v>7</c:v>
                </c:pt>
                <c:pt idx="2">
                  <c:v>1</c:v>
                </c:pt>
              </c:numCache>
            </c:numRef>
          </c:val>
          <c:extLst>
            <c:ext xmlns:c16="http://schemas.microsoft.com/office/drawing/2014/chart" uri="{C3380CC4-5D6E-409C-BE32-E72D297353CC}">
              <c16:uniqueId val="{00000002-1C15-481C-BB4C-36AA9179AC96}"/>
            </c:ext>
          </c:extLst>
        </c:ser>
        <c:ser>
          <c:idx val="2"/>
          <c:order val="2"/>
          <c:tx>
            <c:strRef>
              <c:f>'Gender Distribution By EyeColor'!$D$3:$D$4</c:f>
              <c:strCache>
                <c:ptCount val="1"/>
                <c:pt idx="0">
                  <c:v>Green</c:v>
                </c:pt>
              </c:strCache>
            </c:strRef>
          </c:tx>
          <c:spPr>
            <a:solidFill>
              <a:schemeClr val="accent3"/>
            </a:solidFill>
            <a:ln>
              <a:noFill/>
            </a:ln>
            <a:effectLst/>
          </c:spPr>
          <c:invertIfNegative val="0"/>
          <c:cat>
            <c:strRef>
              <c:f>'Gender Distribution By EyeColor'!$A$5:$A$8</c:f>
              <c:strCache>
                <c:ptCount val="3"/>
                <c:pt idx="0">
                  <c:v>Female</c:v>
                </c:pt>
                <c:pt idx="1">
                  <c:v>Male</c:v>
                </c:pt>
                <c:pt idx="2">
                  <c:v>Unknown</c:v>
                </c:pt>
              </c:strCache>
            </c:strRef>
          </c:cat>
          <c:val>
            <c:numRef>
              <c:f>'Gender Distribution By EyeColor'!$D$5:$D$8</c:f>
              <c:numCache>
                <c:formatCode>General</c:formatCode>
                <c:ptCount val="3"/>
                <c:pt idx="0">
                  <c:v>1</c:v>
                </c:pt>
                <c:pt idx="1">
                  <c:v>3</c:v>
                </c:pt>
                <c:pt idx="2">
                  <c:v>3</c:v>
                </c:pt>
              </c:numCache>
            </c:numRef>
          </c:val>
          <c:extLst>
            <c:ext xmlns:c16="http://schemas.microsoft.com/office/drawing/2014/chart" uri="{C3380CC4-5D6E-409C-BE32-E72D297353CC}">
              <c16:uniqueId val="{00000005-1C15-481C-BB4C-36AA9179AC96}"/>
            </c:ext>
          </c:extLst>
        </c:ser>
        <c:ser>
          <c:idx val="3"/>
          <c:order val="3"/>
          <c:tx>
            <c:strRef>
              <c:f>'Gender Distribution By EyeColor'!$E$3:$E$4</c:f>
              <c:strCache>
                <c:ptCount val="1"/>
                <c:pt idx="0">
                  <c:v>Unknown</c:v>
                </c:pt>
              </c:strCache>
            </c:strRef>
          </c:tx>
          <c:spPr>
            <a:solidFill>
              <a:schemeClr val="accent4"/>
            </a:solidFill>
            <a:ln>
              <a:noFill/>
            </a:ln>
            <a:effectLst/>
          </c:spPr>
          <c:invertIfNegative val="0"/>
          <c:cat>
            <c:strRef>
              <c:f>'Gender Distribution By EyeColor'!$A$5:$A$8</c:f>
              <c:strCache>
                <c:ptCount val="3"/>
                <c:pt idx="0">
                  <c:v>Female</c:v>
                </c:pt>
                <c:pt idx="1">
                  <c:v>Male</c:v>
                </c:pt>
                <c:pt idx="2">
                  <c:v>Unknown</c:v>
                </c:pt>
              </c:strCache>
            </c:strRef>
          </c:cat>
          <c:val>
            <c:numRef>
              <c:f>'Gender Distribution By EyeColor'!$E$5:$E$8</c:f>
              <c:numCache>
                <c:formatCode>General</c:formatCode>
                <c:ptCount val="3"/>
                <c:pt idx="0">
                  <c:v>4</c:v>
                </c:pt>
                <c:pt idx="1">
                  <c:v>5</c:v>
                </c:pt>
                <c:pt idx="2">
                  <c:v>2</c:v>
                </c:pt>
              </c:numCache>
            </c:numRef>
          </c:val>
          <c:extLst>
            <c:ext xmlns:c16="http://schemas.microsoft.com/office/drawing/2014/chart" uri="{C3380CC4-5D6E-409C-BE32-E72D297353CC}">
              <c16:uniqueId val="{00000006-1C15-481C-BB4C-36AA9179AC96}"/>
            </c:ext>
          </c:extLst>
        </c:ser>
        <c:dLbls>
          <c:showLegendKey val="0"/>
          <c:showVal val="0"/>
          <c:showCatName val="0"/>
          <c:showSerName val="0"/>
          <c:showPercent val="0"/>
          <c:showBubbleSize val="0"/>
        </c:dLbls>
        <c:gapWidth val="219"/>
        <c:overlap val="-27"/>
        <c:axId val="1113738319"/>
        <c:axId val="1222801759"/>
      </c:barChart>
      <c:catAx>
        <c:axId val="111373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22801759"/>
        <c:crosses val="autoZero"/>
        <c:auto val="1"/>
        <c:lblAlgn val="ctr"/>
        <c:lblOffset val="100"/>
        <c:noMultiLvlLbl val="0"/>
      </c:catAx>
      <c:valAx>
        <c:axId val="122280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1373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S.xlsx]Fur Colour!PivotTable4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Fur Colour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PK"/>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'Fur Colour'!$B$3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'Fur Colour'!$A$4:$A$8</c:f>
              <c:strCache>
                <c:ptCount val="4"/>
                <c:pt idx="0">
                  <c:v>Black</c:v>
                </c:pt>
                <c:pt idx="1">
                  <c:v>Red/Cream</c:v>
                </c:pt>
                <c:pt idx="2">
                  <c:v>Unknown</c:v>
                </c:pt>
                <c:pt idx="3">
                  <c:v>White</c:v>
                </c:pt>
              </c:strCache>
            </c:strRef>
          </c:cat>
          <c:val>
            <c:numRef>
              <c:f>'Fur Colour'!$B$4:$B$8</c:f>
              <c:numCache>
                <c:formatCode>General</c:formatCode>
                <c:ptCount val="4"/>
                <c:pt idx="0">
                  <c:v>6</c:v>
                </c:pt>
                <c:pt idx="1">
                  <c:v>4</c:v>
                </c:pt>
                <c:pt idx="2">
                  <c:v>2</c:v>
                </c:pt>
                <c:pt idx="3">
                  <c:v>27</c:v>
                </c:pt>
              </c:numCache>
            </c:numRef>
          </c:val>
          <c:extLst>
            <c:ext xmlns:c16="http://schemas.microsoft.com/office/drawing/2014/chart" uri="{C3380CC4-5D6E-409C-BE32-E72D297353CC}">
              <c16:uniqueId val="{00000000-5340-4290-8557-1F83B01AC88D}"/>
            </c:ext>
          </c:extLst>
        </c:ser>
        <c:dLbls>
          <c:showLegendKey val="0"/>
          <c:showVal val="0"/>
          <c:showCatName val="0"/>
          <c:showSerName val="0"/>
          <c:showPercent val="0"/>
          <c:showBubbleSize val="0"/>
        </c:dLbls>
        <c:gapWidth val="150"/>
        <c:shape val="box"/>
        <c:axId val="1057934095"/>
        <c:axId val="925282783"/>
        <c:axId val="0"/>
      </c:bar3DChart>
      <c:catAx>
        <c:axId val="1057934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25282783"/>
        <c:crosses val="autoZero"/>
        <c:auto val="1"/>
        <c:lblAlgn val="ctr"/>
        <c:lblOffset val="100"/>
        <c:noMultiLvlLbl val="0"/>
      </c:catAx>
      <c:valAx>
        <c:axId val="92528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5793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S.xlsx]Outdoor vs Indoorsy!PivotTable6</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Outdoorsy</a:t>
            </a:r>
            <a:r>
              <a:rPr lang="en-US" baseline="0"/>
              <a:t> vs indoorsy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'Outdoor vs Indoorsy'!$B$3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C14-4434-A89D-A02EC4B9AF9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C14-4434-A89D-A02EC4B9AF9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C14-4434-A89D-A02EC4B9AF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'Outdoor vs Indoorsy'!$A$4:$A$7</c:f>
              <c:strCache>
                <c:ptCount val="3"/>
                <c:pt idx="0">
                  <c:v>No</c:v>
                </c:pt>
                <c:pt idx="1">
                  <c:v>Yes</c:v>
                </c:pt>
                <c:pt idx="2">
                  <c:v>N/A</c:v>
                </c:pt>
              </c:strCache>
            </c:strRef>
          </c:cat>
          <c:val>
            <c:numRef>
              <c:f>'Outdoor vs Indoorsy'!$B$4:$B$7</c:f>
              <c:numCache>
                <c:formatCode>General</c:formatCode>
                <c:ptCount val="3"/>
                <c:pt idx="0">
                  <c:v>29</c:v>
                </c:pt>
                <c:pt idx="1">
                  <c:v>6</c:v>
                </c:pt>
                <c:pt idx="2">
                  <c:v>4</c:v>
                </c:pt>
              </c:numCache>
            </c:numRef>
          </c:val>
          <c:extLst>
            <c:ext xmlns:c16="http://schemas.microsoft.com/office/drawing/2014/chart" uri="{C3380CC4-5D6E-409C-BE32-E72D297353CC}">
              <c16:uniqueId val="{00000006-DC14-4434-A89D-A02EC4B9AF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S.xlsx]Playtime Vs Age Group!PivotTable14</c:name>
    <c:fmtId val="2"/>
  </c:pivotSource>
  <c:chart>
    <c:title>
      <c:tx>
        <c:rich>
          <a:bodyPr rot="0" spcFirstLastPara="1" vertOverflow="ellipsis" vert="horz" wrap="square" anchor="ctr" anchorCtr="1"/>
          <a:lstStyle/>
          <a:p>
            <a:pPr algn="ctr">
              <a:defRPr sz="2000" b="0" i="0" u="none" strike="noStrike" kern="1200" cap="none" spc="0" normalizeH="0" baseline="0">
                <a:solidFill>
                  <a:schemeClr val="tx1">
                    <a:lumMod val="65000"/>
                    <a:lumOff val="35000"/>
                  </a:schemeClr>
                </a:solidFill>
                <a:latin typeface="+mj-lt"/>
                <a:ea typeface="+mj-ea"/>
                <a:cs typeface="+mj-cs"/>
              </a:defRPr>
            </a:pPr>
            <a:r>
              <a:rPr lang="en-US" b="1"/>
              <a:t>Playtime Vs Age Group</a:t>
            </a:r>
          </a:p>
        </c:rich>
      </c:tx>
      <c:overlay val="0"/>
      <c:spPr>
        <a:noFill/>
        <a:ln>
          <a:noFill/>
        </a:ln>
        <a:effectLst/>
      </c:spPr>
      <c:txPr>
        <a:bodyPr rot="0" spcFirstLastPara="1" vertOverflow="ellipsis" vert="horz" wrap="square" anchor="ctr" anchorCtr="1"/>
        <a:lstStyle/>
        <a:p>
          <a:pPr algn="ctr">
            <a:defRPr sz="2000" b="0" i="0" u="none" strike="noStrike" kern="1200" cap="none" spc="0" normalizeH="0" baseline="0">
              <a:solidFill>
                <a:schemeClr val="tx1">
                  <a:lumMod val="65000"/>
                  <a:lumOff val="35000"/>
                </a:schemeClr>
              </a:solidFill>
              <a:latin typeface="+mj-lt"/>
              <a:ea typeface="+mj-ea"/>
              <a:cs typeface="+mj-cs"/>
            </a:defRPr>
          </a:pPr>
          <a:endParaRPr lang="en-PK"/>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stacked"/>
        <c:varyColors val="0"/>
        <c:ser>
          <c:idx val="0"/>
          <c:order val="0"/>
          <c:tx>
            <c:strRef>
              <c:f>'Playtime Vs Age Group'!$B$3</c:f>
              <c:strCache>
                <c:ptCount val="1"/>
                <c:pt idx="0">
                  <c:v>Total</c:v>
                </c:pt>
              </c:strCache>
            </c:strRef>
          </c:tx>
          <c:spPr>
            <a:solidFill>
              <a:schemeClr val="accent1"/>
            </a:solidFill>
            <a:ln>
              <a:noFill/>
            </a:ln>
            <a:effectLst/>
          </c:spPr>
          <c:invertIfNegative val="0"/>
          <c:cat>
            <c:strRef>
              <c:f>'Playtime Vs Age Group'!$A$4:$A$8</c:f>
              <c:strCache>
                <c:ptCount val="4"/>
                <c:pt idx="0">
                  <c:v>Adult</c:v>
                </c:pt>
                <c:pt idx="1">
                  <c:v>Kitten</c:v>
                </c:pt>
                <c:pt idx="2">
                  <c:v>Senior</c:v>
                </c:pt>
                <c:pt idx="3">
                  <c:v>Young</c:v>
                </c:pt>
              </c:strCache>
            </c:strRef>
          </c:cat>
          <c:val>
            <c:numRef>
              <c:f>'Playtime Vs Age Group'!$B$4:$B$8</c:f>
              <c:numCache>
                <c:formatCode>General</c:formatCode>
                <c:ptCount val="4"/>
                <c:pt idx="0">
                  <c:v>19.666666666666668</c:v>
                </c:pt>
                <c:pt idx="1">
                  <c:v>36.909090909090907</c:v>
                </c:pt>
                <c:pt idx="2">
                  <c:v>20</c:v>
                </c:pt>
                <c:pt idx="3">
                  <c:v>25.818181818181817</c:v>
                </c:pt>
              </c:numCache>
            </c:numRef>
          </c:val>
          <c:extLst>
            <c:ext xmlns:c16="http://schemas.microsoft.com/office/drawing/2014/chart" uri="{C3380CC4-5D6E-409C-BE32-E72D297353CC}">
              <c16:uniqueId val="{00000000-53FD-487B-A1D2-C35328EA0F45}"/>
            </c:ext>
          </c:extLst>
        </c:ser>
        <c:dLbls>
          <c:showLegendKey val="0"/>
          <c:showVal val="0"/>
          <c:showCatName val="0"/>
          <c:showSerName val="0"/>
          <c:showPercent val="0"/>
          <c:showBubbleSize val="0"/>
        </c:dLbls>
        <c:gapWidth val="150"/>
        <c:overlap val="100"/>
        <c:axId val="1391850831"/>
        <c:axId val="1247658367"/>
      </c:barChart>
      <c:catAx>
        <c:axId val="139185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PK"/>
          </a:p>
        </c:txPr>
        <c:crossAx val="1247658367"/>
        <c:crosses val="autoZero"/>
        <c:auto val="1"/>
        <c:lblAlgn val="ctr"/>
        <c:lblOffset val="100"/>
        <c:noMultiLvlLbl val="0"/>
      </c:catAx>
      <c:valAx>
        <c:axId val="124765836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9185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 S.xlsx]Weight By Gender!PivotTable15</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Weight by gender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PK"/>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'Weight By Gender'!$B$3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'Weight By Gender'!$A$4:$A$7</c:f>
              <c:strCache>
                <c:ptCount val="3"/>
                <c:pt idx="0">
                  <c:v>Female</c:v>
                </c:pt>
                <c:pt idx="1">
                  <c:v>Male</c:v>
                </c:pt>
                <c:pt idx="2">
                  <c:v>Unknown</c:v>
                </c:pt>
              </c:strCache>
            </c:strRef>
          </c:cat>
          <c:val>
            <c:numRef>
              <c:f>'Weight By Gender'!$B$4:$B$7</c:f>
              <c:numCache>
                <c:formatCode>General</c:formatCode>
                <c:ptCount val="3"/>
                <c:pt idx="0">
                  <c:v>3.4538461538461536</c:v>
                </c:pt>
                <c:pt idx="1">
                  <c:v>3.9157894736842103</c:v>
                </c:pt>
                <c:pt idx="2">
                  <c:v>2.7142857142857144</c:v>
                </c:pt>
              </c:numCache>
            </c:numRef>
          </c:val>
          <c:extLst>
            <c:ext xmlns:c16="http://schemas.microsoft.com/office/drawing/2014/chart" uri="{C3380CC4-5D6E-409C-BE32-E72D297353CC}">
              <c16:uniqueId val="{00000000-7491-4859-8CFA-CA167976AEE1}"/>
            </c:ext>
          </c:extLst>
        </c:ser>
        <c:dLbls>
          <c:showLegendKey val="0"/>
          <c:showVal val="0"/>
          <c:showCatName val="0"/>
          <c:showSerName val="0"/>
          <c:showPercent val="0"/>
          <c:showBubbleSize val="0"/>
        </c:dLbls>
        <c:gapWidth val="355"/>
        <c:overlap val="-70"/>
        <c:axId val="1391854831"/>
        <c:axId val="1247661279"/>
      </c:barChart>
      <c:catAx>
        <c:axId val="139185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47661279"/>
        <c:crosses val="autoZero"/>
        <c:auto val="1"/>
        <c:lblAlgn val="ctr"/>
        <c:lblOffset val="100"/>
        <c:noMultiLvlLbl val="0"/>
      </c:catAx>
      <c:valAx>
        <c:axId val="124766127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9185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5</xdr:col>
      <xdr:colOff>604837</xdr:colOff>
      <xdr:row>2</xdr:row>
      <xdr:rowOff>33337</xdr:rowOff>
    </xdr:from>
    <xdr:to>
      <xdr:col>13</xdr:col>
      <xdr:colOff>300037</xdr:colOff>
      <xdr:row>16</xdr:row>
      <xdr:rowOff>109537</xdr:rowOff>
    </xdr:to>
    <xdr:graphicFrame macro="">
      <xdr:nvGraphicFramePr>
        <xdr:cNvPr id="2" name="Chart 1">
          <a:extLst>
            <a:ext uri="{FF2B5EF4-FFF2-40B4-BE49-F238E27FC236}">
              <a16:creationId xmlns:a16="http://schemas.microsoft.com/office/drawing/2014/main" id="{A0C64B28-F59B-4868-810B-77BB5BFDF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209550</xdr:colOff>
      <xdr:row>11</xdr:row>
      <xdr:rowOff>147637</xdr:rowOff>
    </xdr:from>
    <xdr:to>
      <xdr:col>12</xdr:col>
      <xdr:colOff>514350</xdr:colOff>
      <xdr:row>26</xdr:row>
      <xdr:rowOff>33337</xdr:rowOff>
    </xdr:to>
    <xdr:graphicFrame macro="">
      <xdr:nvGraphicFramePr>
        <xdr:cNvPr id="2" name="Chart 1">
          <a:extLst>
            <a:ext uri="{FF2B5EF4-FFF2-40B4-BE49-F238E27FC236}">
              <a16:creationId xmlns:a16="http://schemas.microsoft.com/office/drawing/2014/main" id="{03AE3811-F3CA-442F-9FF8-80CEFC5D1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390525</xdr:colOff>
      <xdr:row>9</xdr:row>
      <xdr:rowOff>42862</xdr:rowOff>
    </xdr:from>
    <xdr:to>
      <xdr:col>17</xdr:col>
      <xdr:colOff>85725</xdr:colOff>
      <xdr:row>23</xdr:row>
      <xdr:rowOff>119062</xdr:rowOff>
    </xdr:to>
    <xdr:graphicFrame macro="">
      <xdr:nvGraphicFramePr>
        <xdr:cNvPr id="3" name="Chart 2">
          <a:extLst>
            <a:ext uri="{FF2B5EF4-FFF2-40B4-BE49-F238E27FC236}">
              <a16:creationId xmlns:a16="http://schemas.microsoft.com/office/drawing/2014/main" id="{94571D11-EF4F-4B4D-A961-1A9AC4CF6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604837</xdr:colOff>
      <xdr:row>5</xdr:row>
      <xdr:rowOff>14287</xdr:rowOff>
    </xdr:from>
    <xdr:to>
      <xdr:col>13</xdr:col>
      <xdr:colOff>300037</xdr:colOff>
      <xdr:row>19</xdr:row>
      <xdr:rowOff>90487</xdr:rowOff>
    </xdr:to>
    <xdr:graphicFrame macro="">
      <xdr:nvGraphicFramePr>
        <xdr:cNvPr id="2" name="Chart 1">
          <a:extLst>
            <a:ext uri="{FF2B5EF4-FFF2-40B4-BE49-F238E27FC236}">
              <a16:creationId xmlns:a16="http://schemas.microsoft.com/office/drawing/2014/main" id="{EF7802BF-43F6-4564-A12A-686607591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600075</xdr:colOff>
      <xdr:row>5</xdr:row>
      <xdr:rowOff>19050</xdr:rowOff>
    </xdr:from>
    <xdr:to>
      <xdr:col>17</xdr:col>
      <xdr:colOff>600075</xdr:colOff>
      <xdr:row>11</xdr:row>
      <xdr:rowOff>38100</xdr:rowOff>
    </xdr:to>
    <mc:AlternateContent xmlns:mc="http://schemas.openxmlformats.org/markup-compatibility/2006" xmlns:a14="http://schemas.microsoft.com/office/drawing/2010/main">
      <mc:Choice Requires="a14">
        <xdr:graphicFrame macro="">
          <xdr:nvGraphicFramePr>
            <xdr:cNvPr id="3" name="Gender_Final">
              <a:extLst>
                <a:ext uri="{FF2B5EF4-FFF2-40B4-BE49-F238E27FC236}">
                  <a16:creationId xmlns:a16="http://schemas.microsoft.com/office/drawing/2014/main" id="{550FC46B-7783-4689-894B-3F4D92F6F8C4}"/>
                </a:ext>
              </a:extLst>
            </xdr:cNvPr>
            <xdr:cNvGraphicFramePr/>
          </xdr:nvGraphicFramePr>
          <xdr:xfrm>
            <a:off x="0" y="0"/>
            <a:ext cx="0" cy="0"/>
          </xdr:xfrm>
          <a:graphic>
            <a:graphicData uri="http://schemas.microsoft.com/office/drawing/2010/slicer">
              <sle:slicer xmlns:sle="http://schemas.microsoft.com/office/drawing/2010/slicer" name="Gender_Final"/>
            </a:graphicData>
          </a:graphic>
        </xdr:graphicFrame>
      </mc:Choice>
      <mc:Fallback xmlns="">
        <xdr:sp macro="" textlink="">
          <xdr:nvSpPr>
            <xdr:cNvPr id="0" name=""/>
            <xdr:cNvSpPr>
              <a:spLocks noTextEdit="1"/>
            </xdr:cNvSpPr>
          </xdr:nvSpPr>
          <xdr:spPr>
            <a:xfrm>
              <a:off x="10220325" y="971550"/>
              <a:ext cx="1828800" cy="11620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352425</xdr:colOff>
      <xdr:row>6</xdr:row>
      <xdr:rowOff>176212</xdr:rowOff>
    </xdr:from>
    <xdr:to>
      <xdr:col>14</xdr:col>
      <xdr:colOff>47625</xdr:colOff>
      <xdr:row>21</xdr:row>
      <xdr:rowOff>61912</xdr:rowOff>
    </xdr:to>
    <xdr:graphicFrame macro="">
      <xdr:nvGraphicFramePr>
        <xdr:cNvPr id="2" name="Chart 1">
          <a:extLst>
            <a:ext uri="{FF2B5EF4-FFF2-40B4-BE49-F238E27FC236}">
              <a16:creationId xmlns:a16="http://schemas.microsoft.com/office/drawing/2014/main" id="{7C54748F-CE99-4945-A6EF-7C549F220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561975</xdr:colOff>
      <xdr:row>6</xdr:row>
      <xdr:rowOff>171450</xdr:rowOff>
    </xdr:from>
    <xdr:to>
      <xdr:col>17</xdr:col>
      <xdr:colOff>561975</xdr:colOff>
      <xdr:row>15</xdr:row>
      <xdr:rowOff>28575</xdr:rowOff>
    </xdr:to>
    <mc:AlternateContent xmlns:mc="http://schemas.openxmlformats.org/markup-compatibility/2006" xmlns:a14="http://schemas.microsoft.com/office/drawing/2010/main">
      <mc:Choice Requires="a14">
        <xdr:graphicFrame macro="">
          <xdr:nvGraphicFramePr>
            <xdr:cNvPr id="3" name="Age_Group">
              <a:extLst>
                <a:ext uri="{FF2B5EF4-FFF2-40B4-BE49-F238E27FC236}">
                  <a16:creationId xmlns:a16="http://schemas.microsoft.com/office/drawing/2014/main" id="{7319B515-1FDD-4A0E-BC91-4A9FCBC1B2C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039350" y="1314450"/>
              <a:ext cx="1828800" cy="15716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476250</xdr:colOff>
      <xdr:row>1</xdr:row>
      <xdr:rowOff>23812</xdr:rowOff>
    </xdr:from>
    <xdr:to>
      <xdr:col>13</xdr:col>
      <xdr:colOff>171450</xdr:colOff>
      <xdr:row>15</xdr:row>
      <xdr:rowOff>100012</xdr:rowOff>
    </xdr:to>
    <xdr:graphicFrame macro="">
      <xdr:nvGraphicFramePr>
        <xdr:cNvPr id="2" name="Chart 1">
          <a:extLst>
            <a:ext uri="{FF2B5EF4-FFF2-40B4-BE49-F238E27FC236}">
              <a16:creationId xmlns:a16="http://schemas.microsoft.com/office/drawing/2014/main" id="{C5C377D6-EB1D-4BA5-8603-4939BC13D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28575</xdr:colOff>
      <xdr:row>1</xdr:row>
      <xdr:rowOff>19050</xdr:rowOff>
    </xdr:from>
    <xdr:to>
      <xdr:col>18</xdr:col>
      <xdr:colOff>28575</xdr:colOff>
      <xdr:row>8</xdr:row>
      <xdr:rowOff>76200</xdr:rowOff>
    </xdr:to>
    <mc:AlternateContent xmlns:mc="http://schemas.openxmlformats.org/markup-compatibility/2006" xmlns:a14="http://schemas.microsoft.com/office/drawing/2010/main">
      <mc:Choice Requires="a14">
        <xdr:graphicFrame macro="">
          <xdr:nvGraphicFramePr>
            <xdr:cNvPr id="3" name="Fur_colour_dominant_Final">
              <a:extLst>
                <a:ext uri="{FF2B5EF4-FFF2-40B4-BE49-F238E27FC236}">
                  <a16:creationId xmlns:a16="http://schemas.microsoft.com/office/drawing/2014/main" id="{686859F2-245E-4A36-B6CD-D36A9C44FBC3}"/>
                </a:ext>
              </a:extLst>
            </xdr:cNvPr>
            <xdr:cNvGraphicFramePr/>
          </xdr:nvGraphicFramePr>
          <xdr:xfrm>
            <a:off x="0" y="0"/>
            <a:ext cx="0" cy="0"/>
          </xdr:xfrm>
          <a:graphic>
            <a:graphicData uri="http://schemas.microsoft.com/office/drawing/2010/slicer">
              <sle:slicer xmlns:sle="http://schemas.microsoft.com/office/drawing/2010/slicer" name="Fur_colour_dominant_Final"/>
            </a:graphicData>
          </a:graphic>
        </xdr:graphicFrame>
      </mc:Choice>
      <mc:Fallback xmlns="">
        <xdr:sp macro="" textlink="">
          <xdr:nvSpPr>
            <xdr:cNvPr id="0" name=""/>
            <xdr:cNvSpPr>
              <a:spLocks noTextEdit="1"/>
            </xdr:cNvSpPr>
          </xdr:nvSpPr>
          <xdr:spPr>
            <a:xfrm>
              <a:off x="11106150" y="209550"/>
              <a:ext cx="1828800" cy="13906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152400</xdr:colOff>
      <xdr:row>11</xdr:row>
      <xdr:rowOff>147637</xdr:rowOff>
    </xdr:from>
    <xdr:to>
      <xdr:col>13</xdr:col>
      <xdr:colOff>457200</xdr:colOff>
      <xdr:row>26</xdr:row>
      <xdr:rowOff>33337</xdr:rowOff>
    </xdr:to>
    <xdr:graphicFrame macro="">
      <xdr:nvGraphicFramePr>
        <xdr:cNvPr id="2" name="Chart 1">
          <a:extLst>
            <a:ext uri="{FF2B5EF4-FFF2-40B4-BE49-F238E27FC236}">
              <a16:creationId xmlns:a16="http://schemas.microsoft.com/office/drawing/2014/main" id="{00D30890-1B34-4085-B846-050ECA6E3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209550</xdr:colOff>
      <xdr:row>11</xdr:row>
      <xdr:rowOff>147637</xdr:rowOff>
    </xdr:from>
    <xdr:to>
      <xdr:col>12</xdr:col>
      <xdr:colOff>514350</xdr:colOff>
      <xdr:row>26</xdr:row>
      <xdr:rowOff>33337</xdr:rowOff>
    </xdr:to>
    <xdr:graphicFrame macro="">
      <xdr:nvGraphicFramePr>
        <xdr:cNvPr id="2" name="Chart 1">
          <a:extLst>
            <a:ext uri="{FF2B5EF4-FFF2-40B4-BE49-F238E27FC236}">
              <a16:creationId xmlns:a16="http://schemas.microsoft.com/office/drawing/2014/main" id="{039CF1A0-FF12-49E7-AD6F-455BA26AC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238125</xdr:colOff>
      <xdr:row>1</xdr:row>
      <xdr:rowOff>119062</xdr:rowOff>
    </xdr:from>
    <xdr:to>
      <xdr:col>12</xdr:col>
      <xdr:colOff>542925</xdr:colOff>
      <xdr:row>16</xdr:row>
      <xdr:rowOff>4762</xdr:rowOff>
    </xdr:to>
    <xdr:graphicFrame macro="">
      <xdr:nvGraphicFramePr>
        <xdr:cNvPr id="3" name="Chart 2">
          <a:extLst>
            <a:ext uri="{FF2B5EF4-FFF2-40B4-BE49-F238E27FC236}">
              <a16:creationId xmlns:a16="http://schemas.microsoft.com/office/drawing/2014/main" id="{80B57356-54AC-4AC4-9EE1-463CDA0F9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485775</xdr:colOff>
      <xdr:row>2</xdr:row>
      <xdr:rowOff>1</xdr:rowOff>
    </xdr:from>
    <xdr:to>
      <xdr:col>16</xdr:col>
      <xdr:colOff>485775</xdr:colOff>
      <xdr:row>8</xdr:row>
      <xdr:rowOff>1</xdr:rowOff>
    </xdr:to>
    <mc:AlternateContent xmlns:mc="http://schemas.openxmlformats.org/markup-compatibility/2006" xmlns:a14="http://schemas.microsoft.com/office/drawing/2010/main">
      <mc:Choice Requires="a14">
        <xdr:graphicFrame macro="">
          <xdr:nvGraphicFramePr>
            <xdr:cNvPr id="7" name="Allowed_outdoor_Clean">
              <a:extLst>
                <a:ext uri="{FF2B5EF4-FFF2-40B4-BE49-F238E27FC236}">
                  <a16:creationId xmlns:a16="http://schemas.microsoft.com/office/drawing/2014/main" id="{C4A05A35-6105-4C9F-BBA2-8E229856A956}"/>
                </a:ext>
              </a:extLst>
            </xdr:cNvPr>
            <xdr:cNvGraphicFramePr/>
          </xdr:nvGraphicFramePr>
          <xdr:xfrm>
            <a:off x="0" y="0"/>
            <a:ext cx="0" cy="0"/>
          </xdr:xfrm>
          <a:graphic>
            <a:graphicData uri="http://schemas.microsoft.com/office/drawing/2010/slicer">
              <sle:slicer xmlns:sle="http://schemas.microsoft.com/office/drawing/2010/slicer" name="Allowed_outdoor_Clean"/>
            </a:graphicData>
          </a:graphic>
        </xdr:graphicFrame>
      </mc:Choice>
      <mc:Fallback xmlns="">
        <xdr:sp macro="" textlink="">
          <xdr:nvSpPr>
            <xdr:cNvPr id="0" name=""/>
            <xdr:cNvSpPr>
              <a:spLocks noTextEdit="1"/>
            </xdr:cNvSpPr>
          </xdr:nvSpPr>
          <xdr:spPr>
            <a:xfrm>
              <a:off x="10153650" y="381001"/>
              <a:ext cx="1828800" cy="1143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11811000</xdr:colOff>
      <xdr:row>2</xdr:row>
      <xdr:rowOff>0</xdr:rowOff>
    </xdr:from>
    <xdr:to>
      <xdr:col>0</xdr:col>
      <xdr:colOff>16383000</xdr:colOff>
      <xdr:row>16</xdr:row>
      <xdr:rowOff>76200</xdr:rowOff>
    </xdr:to>
    <xdr:graphicFrame macro="">
      <xdr:nvGraphicFramePr>
        <xdr:cNvPr id="2" name="Chart 1">
          <a:extLst>
            <a:ext uri="{FF2B5EF4-FFF2-40B4-BE49-F238E27FC236}">
              <a16:creationId xmlns:a16="http://schemas.microsoft.com/office/drawing/2014/main" id="{31135998-26A0-43E1-96EB-66E0EDDF9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6086475</xdr:colOff>
      <xdr:row>1</xdr:row>
      <xdr:rowOff>171450</xdr:rowOff>
    </xdr:from>
    <xdr:to>
      <xdr:col>0</xdr:col>
      <xdr:colOff>10658475</xdr:colOff>
      <xdr:row>16</xdr:row>
      <xdr:rowOff>57150</xdr:rowOff>
    </xdr:to>
    <xdr:graphicFrame macro="">
      <xdr:nvGraphicFramePr>
        <xdr:cNvPr id="3" name="Chart 2">
          <a:extLst>
            <a:ext uri="{FF2B5EF4-FFF2-40B4-BE49-F238E27FC236}">
              <a16:creationId xmlns:a16="http://schemas.microsoft.com/office/drawing/2014/main" id="{03F4E04E-D18F-474A-BAD4-C8F7F28D5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14364494</xdr:colOff>
      <xdr:row>34</xdr:row>
      <xdr:rowOff>9525</xdr:rowOff>
    </xdr:from>
    <xdr:to>
      <xdr:col>4</xdr:col>
      <xdr:colOff>57944</xdr:colOff>
      <xdr:row>48</xdr:row>
      <xdr:rowOff>85725</xdr:rowOff>
    </xdr:to>
    <xdr:graphicFrame macro="">
      <xdr:nvGraphicFramePr>
        <xdr:cNvPr id="4" name="Chart 3">
          <a:extLst>
            <a:ext uri="{FF2B5EF4-FFF2-40B4-BE49-F238E27FC236}">
              <a16:creationId xmlns:a16="http://schemas.microsoft.com/office/drawing/2014/main" id="{2C0CFADC-A03C-41A3-9FC6-AA40E0181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8394700</xdr:colOff>
      <xdr:row>34</xdr:row>
      <xdr:rowOff>9525</xdr:rowOff>
    </xdr:from>
    <xdr:to>
      <xdr:col>0</xdr:col>
      <xdr:colOff>12995275</xdr:colOff>
      <xdr:row>48</xdr:row>
      <xdr:rowOff>85725</xdr:rowOff>
    </xdr:to>
    <xdr:graphicFrame macro="">
      <xdr:nvGraphicFramePr>
        <xdr:cNvPr id="5" name="Chart 4">
          <a:extLst>
            <a:ext uri="{FF2B5EF4-FFF2-40B4-BE49-F238E27FC236}">
              <a16:creationId xmlns:a16="http://schemas.microsoft.com/office/drawing/2014/main" id="{935B5D5C-0B9D-4BE4-AC6A-4AE7B2FF5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12727781</xdr:colOff>
      <xdr:row>51</xdr:row>
      <xdr:rowOff>114300</xdr:rowOff>
    </xdr:from>
    <xdr:to>
      <xdr:col>1</xdr:col>
      <xdr:colOff>276224</xdr:colOff>
      <xdr:row>66</xdr:row>
      <xdr:rowOff>0</xdr:rowOff>
    </xdr:to>
    <xdr:graphicFrame macro="">
      <xdr:nvGraphicFramePr>
        <xdr:cNvPr id="6" name="Chart 5">
          <a:extLst>
            <a:ext uri="{FF2B5EF4-FFF2-40B4-BE49-F238E27FC236}">
              <a16:creationId xmlns:a16="http://schemas.microsoft.com/office/drawing/2014/main" id="{E4348B83-3A23-4E97-B011-ABAADEA18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11811000</xdr:colOff>
      <xdr:row>17</xdr:row>
      <xdr:rowOff>171450</xdr:rowOff>
    </xdr:from>
    <xdr:to>
      <xdr:col>0</xdr:col>
      <xdr:colOff>16383000</xdr:colOff>
      <xdr:row>32</xdr:row>
      <xdr:rowOff>57150</xdr:rowOff>
    </xdr:to>
    <xdr:graphicFrame macro="">
      <xdr:nvGraphicFramePr>
        <xdr:cNvPr id="7" name="Chart 6">
          <a:extLst>
            <a:ext uri="{FF2B5EF4-FFF2-40B4-BE49-F238E27FC236}">
              <a16:creationId xmlns:a16="http://schemas.microsoft.com/office/drawing/2014/main" id="{DE1361EA-7009-43EC-8CCE-EA6BD8A5C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6029325</xdr:colOff>
      <xdr:row>18</xdr:row>
      <xdr:rowOff>47625</xdr:rowOff>
    </xdr:from>
    <xdr:to>
      <xdr:col>0</xdr:col>
      <xdr:colOff>10601325</xdr:colOff>
      <xdr:row>32</xdr:row>
      <xdr:rowOff>123825</xdr:rowOff>
    </xdr:to>
    <xdr:graphicFrame macro="">
      <xdr:nvGraphicFramePr>
        <xdr:cNvPr id="8" name="Chart 7">
          <a:extLst>
            <a:ext uri="{FF2B5EF4-FFF2-40B4-BE49-F238E27FC236}">
              <a16:creationId xmlns:a16="http://schemas.microsoft.com/office/drawing/2014/main" id="{00BCFECA-7CCD-47EE-B79C-8FD821B4A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869154</xdr:colOff>
      <xdr:row>1</xdr:row>
      <xdr:rowOff>47627</xdr:rowOff>
    </xdr:from>
    <xdr:to>
      <xdr:col>0</xdr:col>
      <xdr:colOff>2428873</xdr:colOff>
      <xdr:row>5</xdr:row>
      <xdr:rowOff>83343</xdr:rowOff>
    </xdr:to>
    <xdr:sp macro="" textlink="">
      <xdr:nvSpPr>
        <xdr:cNvPr id="11" name="Diamond 10">
          <a:extLst>
            <a:ext uri="{FF2B5EF4-FFF2-40B4-BE49-F238E27FC236}">
              <a16:creationId xmlns:a16="http://schemas.microsoft.com/office/drawing/2014/main" id="{C60B9D5C-82DF-4658-AC29-55B1C5DB5242}"/>
            </a:ext>
          </a:extLst>
        </xdr:cNvPr>
        <xdr:cNvSpPr/>
      </xdr:nvSpPr>
      <xdr:spPr>
        <a:xfrm>
          <a:off x="869154" y="1500190"/>
          <a:ext cx="1559719" cy="797716"/>
        </a:xfrm>
        <a:prstGeom prst="diamond">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400" b="0" cap="none" spc="0">
              <a:ln w="0"/>
              <a:solidFill>
                <a:schemeClr val="tx1"/>
              </a:solidFill>
              <a:effectLst>
                <a:outerShdw blurRad="38100" dist="19050" dir="2700000" algn="tl" rotWithShape="0">
                  <a:schemeClr val="dk1">
                    <a:alpha val="40000"/>
                  </a:schemeClr>
                </a:outerShdw>
              </a:effectLst>
            </a:rPr>
            <a:t>39</a:t>
          </a:r>
          <a:endParaRPr lang="en-PK" sz="105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2964655</xdr:colOff>
      <xdr:row>1</xdr:row>
      <xdr:rowOff>35719</xdr:rowOff>
    </xdr:from>
    <xdr:to>
      <xdr:col>0</xdr:col>
      <xdr:colOff>4488657</xdr:colOff>
      <xdr:row>5</xdr:row>
      <xdr:rowOff>71435</xdr:rowOff>
    </xdr:to>
    <xdr:sp macro="" textlink="">
      <xdr:nvSpPr>
        <xdr:cNvPr id="15" name="Diamond 14">
          <a:extLst>
            <a:ext uri="{FF2B5EF4-FFF2-40B4-BE49-F238E27FC236}">
              <a16:creationId xmlns:a16="http://schemas.microsoft.com/office/drawing/2014/main" id="{B0EE2C42-9938-45EC-8545-9AFB7229CB9A}"/>
            </a:ext>
          </a:extLst>
        </xdr:cNvPr>
        <xdr:cNvSpPr/>
      </xdr:nvSpPr>
      <xdr:spPr>
        <a:xfrm>
          <a:off x="2964655" y="1488282"/>
          <a:ext cx="1524002" cy="797716"/>
        </a:xfrm>
        <a:prstGeom prst="diamond">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400" b="0" cap="none" spc="0">
              <a:ln w="0"/>
              <a:solidFill>
                <a:schemeClr val="tx1"/>
              </a:solidFill>
              <a:effectLst>
                <a:outerShdw blurRad="38100" dist="19050" dir="2700000" algn="tl" rotWithShape="0">
                  <a:schemeClr val="dk1">
                    <a:alpha val="40000"/>
                  </a:schemeClr>
                </a:outerShdw>
              </a:effectLst>
            </a:rPr>
            <a:t>12.5</a:t>
          </a:r>
          <a:endParaRPr lang="en-PK" sz="105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2905124</xdr:colOff>
      <xdr:row>5</xdr:row>
      <xdr:rowOff>154781</xdr:rowOff>
    </xdr:from>
    <xdr:to>
      <xdr:col>0</xdr:col>
      <xdr:colOff>4750593</xdr:colOff>
      <xdr:row>7</xdr:row>
      <xdr:rowOff>71437</xdr:rowOff>
    </xdr:to>
    <xdr:sp macro="" textlink="">
      <xdr:nvSpPr>
        <xdr:cNvPr id="16" name="TextBox 15">
          <a:extLst>
            <a:ext uri="{FF2B5EF4-FFF2-40B4-BE49-F238E27FC236}">
              <a16:creationId xmlns:a16="http://schemas.microsoft.com/office/drawing/2014/main" id="{7C8480C1-A1E5-460D-81D5-3AA074781D6C}"/>
            </a:ext>
          </a:extLst>
        </xdr:cNvPr>
        <xdr:cNvSpPr txBox="1"/>
      </xdr:nvSpPr>
      <xdr:spPr>
        <a:xfrm>
          <a:off x="2905124" y="2369344"/>
          <a:ext cx="1845469"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Average Pet</a:t>
          </a:r>
          <a:r>
            <a:rPr lang="en-US" sz="1100" baseline="0"/>
            <a:t> Age (Months)</a:t>
          </a:r>
        </a:p>
        <a:p>
          <a:endParaRPr lang="en-PK" sz="1100"/>
        </a:p>
      </xdr:txBody>
    </xdr:sp>
    <xdr:clientData/>
  </xdr:twoCellAnchor>
  <xdr:twoCellAnchor>
    <xdr:from>
      <xdr:col>0</xdr:col>
      <xdr:colOff>678657</xdr:colOff>
      <xdr:row>5</xdr:row>
      <xdr:rowOff>154782</xdr:rowOff>
    </xdr:from>
    <xdr:to>
      <xdr:col>0</xdr:col>
      <xdr:colOff>2524126</xdr:colOff>
      <xdr:row>7</xdr:row>
      <xdr:rowOff>71438</xdr:rowOff>
    </xdr:to>
    <xdr:sp macro="" textlink="">
      <xdr:nvSpPr>
        <xdr:cNvPr id="18" name="TextBox 17">
          <a:extLst>
            <a:ext uri="{FF2B5EF4-FFF2-40B4-BE49-F238E27FC236}">
              <a16:creationId xmlns:a16="http://schemas.microsoft.com/office/drawing/2014/main" id="{1A869F0D-4CEE-416B-B57E-B4A1C5912518}"/>
            </a:ext>
          </a:extLst>
        </xdr:cNvPr>
        <xdr:cNvSpPr txBox="1"/>
      </xdr:nvSpPr>
      <xdr:spPr>
        <a:xfrm>
          <a:off x="678657" y="2369345"/>
          <a:ext cx="1845469"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Total Cats</a:t>
          </a:r>
          <a:endParaRPr lang="en-US" sz="1100" baseline="0"/>
        </a:p>
        <a:p>
          <a:endParaRPr lang="en-PK" sz="1100"/>
        </a:p>
      </xdr:txBody>
    </xdr:sp>
    <xdr:clientData/>
  </xdr:twoCellAnchor>
  <xdr:twoCellAnchor>
    <xdr:from>
      <xdr:col>0</xdr:col>
      <xdr:colOff>833437</xdr:colOff>
      <xdr:row>7</xdr:row>
      <xdr:rowOff>154781</xdr:rowOff>
    </xdr:from>
    <xdr:to>
      <xdr:col>0</xdr:col>
      <xdr:colOff>2393156</xdr:colOff>
      <xdr:row>11</xdr:row>
      <xdr:rowOff>190497</xdr:rowOff>
    </xdr:to>
    <xdr:sp macro="" textlink="">
      <xdr:nvSpPr>
        <xdr:cNvPr id="19" name="Diamond 18">
          <a:extLst>
            <a:ext uri="{FF2B5EF4-FFF2-40B4-BE49-F238E27FC236}">
              <a16:creationId xmlns:a16="http://schemas.microsoft.com/office/drawing/2014/main" id="{05E87DF9-070B-474E-B077-9C68E33C35C7}"/>
            </a:ext>
          </a:extLst>
        </xdr:cNvPr>
        <xdr:cNvSpPr/>
      </xdr:nvSpPr>
      <xdr:spPr>
        <a:xfrm>
          <a:off x="833437" y="2750344"/>
          <a:ext cx="1559719" cy="797716"/>
        </a:xfrm>
        <a:prstGeom prst="diamond">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400" b="0" cap="none" spc="0">
              <a:ln w="0"/>
              <a:solidFill>
                <a:schemeClr val="tx1"/>
              </a:solidFill>
              <a:effectLst>
                <a:outerShdw blurRad="38100" dist="19050" dir="2700000" algn="tl" rotWithShape="0">
                  <a:schemeClr val="dk1">
                    <a:alpha val="40000"/>
                  </a:schemeClr>
                </a:outerShdw>
              </a:effectLst>
            </a:rPr>
            <a:t>31.5</a:t>
          </a:r>
          <a:endParaRPr lang="en-PK" sz="105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2938463</xdr:colOff>
      <xdr:row>7</xdr:row>
      <xdr:rowOff>152400</xdr:rowOff>
    </xdr:from>
    <xdr:to>
      <xdr:col>0</xdr:col>
      <xdr:colOff>4498182</xdr:colOff>
      <xdr:row>11</xdr:row>
      <xdr:rowOff>188116</xdr:rowOff>
    </xdr:to>
    <xdr:sp macro="" textlink="">
      <xdr:nvSpPr>
        <xdr:cNvPr id="20" name="Diamond 19">
          <a:extLst>
            <a:ext uri="{FF2B5EF4-FFF2-40B4-BE49-F238E27FC236}">
              <a16:creationId xmlns:a16="http://schemas.microsoft.com/office/drawing/2014/main" id="{EA8C661C-7BA4-441B-910A-A33EC2555D82}"/>
            </a:ext>
          </a:extLst>
        </xdr:cNvPr>
        <xdr:cNvSpPr/>
      </xdr:nvSpPr>
      <xdr:spPr>
        <a:xfrm>
          <a:off x="2938463" y="2747963"/>
          <a:ext cx="1559719" cy="797716"/>
        </a:xfrm>
        <a:prstGeom prst="diamond">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400" b="0" cap="none" spc="0">
              <a:ln w="0"/>
              <a:solidFill>
                <a:schemeClr val="tx1"/>
              </a:solidFill>
              <a:effectLst>
                <a:outerShdw blurRad="38100" dist="19050" dir="2700000" algn="tl" rotWithShape="0">
                  <a:schemeClr val="dk1">
                    <a:alpha val="40000"/>
                  </a:schemeClr>
                </a:outerShdw>
              </a:effectLst>
            </a:rPr>
            <a:t>15.8</a:t>
          </a:r>
          <a:endParaRPr lang="en-PK" sz="105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571500</xdr:colOff>
      <xdr:row>12</xdr:row>
      <xdr:rowOff>130969</xdr:rowOff>
    </xdr:from>
    <xdr:to>
      <xdr:col>0</xdr:col>
      <xdr:colOff>2416969</xdr:colOff>
      <xdr:row>14</xdr:row>
      <xdr:rowOff>47625</xdr:rowOff>
    </xdr:to>
    <xdr:sp macro="" textlink="">
      <xdr:nvSpPr>
        <xdr:cNvPr id="21" name="TextBox 20">
          <a:extLst>
            <a:ext uri="{FF2B5EF4-FFF2-40B4-BE49-F238E27FC236}">
              <a16:creationId xmlns:a16="http://schemas.microsoft.com/office/drawing/2014/main" id="{C72D9138-90A6-4DDB-A457-CBF9DE1021B9}"/>
            </a:ext>
          </a:extLst>
        </xdr:cNvPr>
        <xdr:cNvSpPr txBox="1"/>
      </xdr:nvSpPr>
      <xdr:spPr>
        <a:xfrm>
          <a:off x="571500" y="3679032"/>
          <a:ext cx="1845469"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Average</a:t>
          </a:r>
          <a:r>
            <a:rPr lang="en-US" sz="1100" baseline="0"/>
            <a:t> Playtime(Mins)</a:t>
          </a:r>
        </a:p>
        <a:p>
          <a:endParaRPr lang="en-PK" sz="1100"/>
        </a:p>
      </xdr:txBody>
    </xdr:sp>
    <xdr:clientData/>
  </xdr:twoCellAnchor>
  <xdr:twoCellAnchor>
    <xdr:from>
      <xdr:col>0</xdr:col>
      <xdr:colOff>2774156</xdr:colOff>
      <xdr:row>12</xdr:row>
      <xdr:rowOff>130969</xdr:rowOff>
    </xdr:from>
    <xdr:to>
      <xdr:col>0</xdr:col>
      <xdr:colOff>4619625</xdr:colOff>
      <xdr:row>14</xdr:row>
      <xdr:rowOff>47625</xdr:rowOff>
    </xdr:to>
    <xdr:sp macro="" textlink="">
      <xdr:nvSpPr>
        <xdr:cNvPr id="22" name="TextBox 21">
          <a:extLst>
            <a:ext uri="{FF2B5EF4-FFF2-40B4-BE49-F238E27FC236}">
              <a16:creationId xmlns:a16="http://schemas.microsoft.com/office/drawing/2014/main" id="{6BBFE2D4-1BD9-4240-8D5F-7A21C1679628}"/>
            </a:ext>
          </a:extLst>
        </xdr:cNvPr>
        <xdr:cNvSpPr txBox="1"/>
      </xdr:nvSpPr>
      <xdr:spPr>
        <a:xfrm>
          <a:off x="2774156" y="3679032"/>
          <a:ext cx="1845469" cy="297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Average SLeep</a:t>
          </a:r>
          <a:r>
            <a:rPr lang="en-US" sz="1100" baseline="0"/>
            <a:t> Time(Hours)</a:t>
          </a:r>
        </a:p>
        <a:p>
          <a:endParaRPr lang="en-PK" sz="1100"/>
        </a:p>
      </xdr:txBody>
    </xdr:sp>
    <xdr:clientData/>
  </xdr:twoCellAnchor>
  <xdr:twoCellAnchor>
    <xdr:from>
      <xdr:col>0</xdr:col>
      <xdr:colOff>1997869</xdr:colOff>
      <xdr:row>33</xdr:row>
      <xdr:rowOff>126206</xdr:rowOff>
    </xdr:from>
    <xdr:to>
      <xdr:col>0</xdr:col>
      <xdr:colOff>6591300</xdr:colOff>
      <xdr:row>48</xdr:row>
      <xdr:rowOff>11906</xdr:rowOff>
    </xdr:to>
    <xdr:graphicFrame macro="">
      <xdr:nvGraphicFramePr>
        <xdr:cNvPr id="23" name="Chart 22">
          <a:extLst>
            <a:ext uri="{FF2B5EF4-FFF2-40B4-BE49-F238E27FC236}">
              <a16:creationId xmlns:a16="http://schemas.microsoft.com/office/drawing/2014/main" id="{23C91119-EE9E-4379-BBFA-6A35EAFDD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5372100</xdr:colOff>
      <xdr:row>52</xdr:row>
      <xdr:rowOff>52388</xdr:rowOff>
    </xdr:from>
    <xdr:to>
      <xdr:col>0</xdr:col>
      <xdr:colOff>9944100</xdr:colOff>
      <xdr:row>66</xdr:row>
      <xdr:rowOff>128588</xdr:rowOff>
    </xdr:to>
    <xdr:graphicFrame macro="">
      <xdr:nvGraphicFramePr>
        <xdr:cNvPr id="24" name="Chart 23">
          <a:extLst>
            <a:ext uri="{FF2B5EF4-FFF2-40B4-BE49-F238E27FC236}">
              <a16:creationId xmlns:a16="http://schemas.microsoft.com/office/drawing/2014/main" id="{70CD0982-BDCA-47A1-AEAA-8A056AA4A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356507</xdr:colOff>
      <xdr:row>2</xdr:row>
      <xdr:rowOff>103414</xdr:rowOff>
    </xdr:from>
    <xdr:to>
      <xdr:col>4</xdr:col>
      <xdr:colOff>356508</xdr:colOff>
      <xdr:row>10</xdr:row>
      <xdr:rowOff>65314</xdr:rowOff>
    </xdr:to>
    <mc:AlternateContent xmlns:mc="http://schemas.openxmlformats.org/markup-compatibility/2006">
      <mc:Choice xmlns:a14="http://schemas.microsoft.com/office/drawing/2010/main" Requires="a14">
        <xdr:graphicFrame macro="">
          <xdr:nvGraphicFramePr>
            <xdr:cNvPr id="25" name="Age_Group 1">
              <a:extLst>
                <a:ext uri="{FF2B5EF4-FFF2-40B4-BE49-F238E27FC236}">
                  <a16:creationId xmlns:a16="http://schemas.microsoft.com/office/drawing/2014/main" id="{5727BAE9-613C-465A-950B-0C02EFAC06E3}"/>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17392650" y="1736271"/>
              <a:ext cx="1836965" cy="14859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xdr:colOff>
      <xdr:row>2</xdr:row>
      <xdr:rowOff>76201</xdr:rowOff>
    </xdr:from>
    <xdr:to>
      <xdr:col>9</xdr:col>
      <xdr:colOff>133350</xdr:colOff>
      <xdr:row>9</xdr:row>
      <xdr:rowOff>0</xdr:rowOff>
    </xdr:to>
    <mc:AlternateContent xmlns:mc="http://schemas.openxmlformats.org/markup-compatibility/2006" xmlns:a14="http://schemas.microsoft.com/office/drawing/2010/main">
      <mc:Choice Requires="a14">
        <xdr:graphicFrame macro="">
          <xdr:nvGraphicFramePr>
            <xdr:cNvPr id="26" name="Gender_Final 1">
              <a:extLst>
                <a:ext uri="{FF2B5EF4-FFF2-40B4-BE49-F238E27FC236}">
                  <a16:creationId xmlns:a16="http://schemas.microsoft.com/office/drawing/2014/main" id="{70EBE4C9-E4E9-4166-A53C-D8C8E9ABED06}"/>
                </a:ext>
              </a:extLst>
            </xdr:cNvPr>
            <xdr:cNvGraphicFramePr/>
          </xdr:nvGraphicFramePr>
          <xdr:xfrm>
            <a:off x="0" y="0"/>
            <a:ext cx="0" cy="0"/>
          </xdr:xfrm>
          <a:graphic>
            <a:graphicData uri="http://schemas.microsoft.com/office/drawing/2010/slicer">
              <sle:slicer xmlns:sle="http://schemas.microsoft.com/office/drawing/2010/slicer" name="Gender_Final 1"/>
            </a:graphicData>
          </a:graphic>
        </xdr:graphicFrame>
      </mc:Choice>
      <mc:Fallback xmlns="">
        <xdr:sp macro="" textlink="">
          <xdr:nvSpPr>
            <xdr:cNvPr id="0" name=""/>
            <xdr:cNvSpPr>
              <a:spLocks noTextEdit="1"/>
            </xdr:cNvSpPr>
          </xdr:nvSpPr>
          <xdr:spPr>
            <a:xfrm>
              <a:off x="20183475" y="1711326"/>
              <a:ext cx="1809750" cy="125729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563335</xdr:colOff>
      <xdr:row>18</xdr:row>
      <xdr:rowOff>70758</xdr:rowOff>
    </xdr:from>
    <xdr:to>
      <xdr:col>4</xdr:col>
      <xdr:colOff>563336</xdr:colOff>
      <xdr:row>26</xdr:row>
      <xdr:rowOff>32658</xdr:rowOff>
    </xdr:to>
    <mc:AlternateContent xmlns:mc="http://schemas.openxmlformats.org/markup-compatibility/2006">
      <mc:Choice xmlns:a14="http://schemas.microsoft.com/office/drawing/2010/main" Requires="a14">
        <xdr:graphicFrame macro="">
          <xdr:nvGraphicFramePr>
            <xdr:cNvPr id="27" name="Fur_colour_dominant_Final 1">
              <a:extLst>
                <a:ext uri="{FF2B5EF4-FFF2-40B4-BE49-F238E27FC236}">
                  <a16:creationId xmlns:a16="http://schemas.microsoft.com/office/drawing/2014/main" id="{A46F6AC3-447A-4E1A-834B-402450307A58}"/>
                </a:ext>
              </a:extLst>
            </xdr:cNvPr>
            <xdr:cNvGraphicFramePr/>
          </xdr:nvGraphicFramePr>
          <xdr:xfrm>
            <a:off x="0" y="0"/>
            <a:ext cx="0" cy="0"/>
          </xdr:xfrm>
          <a:graphic>
            <a:graphicData uri="http://schemas.microsoft.com/office/drawing/2010/slicer">
              <sle:slicer xmlns:sle="http://schemas.microsoft.com/office/drawing/2010/slicer" name="Fur_colour_dominant_Final 1"/>
            </a:graphicData>
          </a:graphic>
        </xdr:graphicFrame>
      </mc:Choice>
      <mc:Fallback>
        <xdr:sp macro="" textlink="">
          <xdr:nvSpPr>
            <xdr:cNvPr id="0" name=""/>
            <xdr:cNvSpPr>
              <a:spLocks noTextEdit="1"/>
            </xdr:cNvSpPr>
          </xdr:nvSpPr>
          <xdr:spPr>
            <a:xfrm>
              <a:off x="17599478" y="4751615"/>
              <a:ext cx="1836965" cy="14859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291192</xdr:colOff>
      <xdr:row>18</xdr:row>
      <xdr:rowOff>92530</xdr:rowOff>
    </xdr:from>
    <xdr:to>
      <xdr:col>8</xdr:col>
      <xdr:colOff>291192</xdr:colOff>
      <xdr:row>24</xdr:row>
      <xdr:rowOff>168730</xdr:rowOff>
    </xdr:to>
    <mc:AlternateContent xmlns:mc="http://schemas.openxmlformats.org/markup-compatibility/2006">
      <mc:Choice xmlns:a14="http://schemas.microsoft.com/office/drawing/2010/main" Requires="a14">
        <xdr:graphicFrame macro="">
          <xdr:nvGraphicFramePr>
            <xdr:cNvPr id="28" name="Allowed_outdoor_Clean 1">
              <a:extLst>
                <a:ext uri="{FF2B5EF4-FFF2-40B4-BE49-F238E27FC236}">
                  <a16:creationId xmlns:a16="http://schemas.microsoft.com/office/drawing/2014/main" id="{34CAE1D6-54B2-4430-9DAC-E082945EFF1B}"/>
                </a:ext>
              </a:extLst>
            </xdr:cNvPr>
            <xdr:cNvGraphicFramePr/>
          </xdr:nvGraphicFramePr>
          <xdr:xfrm>
            <a:off x="0" y="0"/>
            <a:ext cx="0" cy="0"/>
          </xdr:xfrm>
          <a:graphic>
            <a:graphicData uri="http://schemas.microsoft.com/office/drawing/2010/slicer">
              <sle:slicer xmlns:sle="http://schemas.microsoft.com/office/drawing/2010/slicer" name="Allowed_outdoor_Clean 1"/>
            </a:graphicData>
          </a:graphic>
        </xdr:graphicFrame>
      </mc:Choice>
      <mc:Fallback>
        <xdr:sp macro="" textlink="">
          <xdr:nvSpPr>
            <xdr:cNvPr id="0" name=""/>
            <xdr:cNvSpPr>
              <a:spLocks noTextEdit="1"/>
            </xdr:cNvSpPr>
          </xdr:nvSpPr>
          <xdr:spPr>
            <a:xfrm>
              <a:off x="19776621" y="4773387"/>
              <a:ext cx="1836964" cy="12192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342900</xdr:colOff>
      <xdr:row>33</xdr:row>
      <xdr:rowOff>133351</xdr:rowOff>
    </xdr:from>
    <xdr:to>
      <xdr:col>8</xdr:col>
      <xdr:colOff>342900</xdr:colOff>
      <xdr:row>38</xdr:row>
      <xdr:rowOff>133350</xdr:rowOff>
    </xdr:to>
    <mc:AlternateContent xmlns:mc="http://schemas.openxmlformats.org/markup-compatibility/2006" xmlns:a14="http://schemas.microsoft.com/office/drawing/2010/main">
      <mc:Choice Requires="a14">
        <xdr:graphicFrame macro="">
          <xdr:nvGraphicFramePr>
            <xdr:cNvPr id="29" name="Country 1">
              <a:extLst>
                <a:ext uri="{FF2B5EF4-FFF2-40B4-BE49-F238E27FC236}">
                  <a16:creationId xmlns:a16="http://schemas.microsoft.com/office/drawing/2014/main" id="{D2D833B4-F7C8-4CA7-82B5-792BB9A2E5A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9789775" y="7673976"/>
              <a:ext cx="1809750" cy="95249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Saad" refreshedDate="46088.934748148145" createdVersion="6" refreshedVersion="6" minRefreshableVersion="3" recordCount="42" xr:uid="{23FF9281-E7CA-4AC8-B8B1-3CAE3C2CED20}">
  <cacheSource type="worksheet">
    <worksheetSource ref="A1:AF1048576" sheet="Clean Data"/>
  </cacheSource>
  <cacheFields count="32">
    <cacheField name="Breed" numFmtId="0">
      <sharedItems containsBlank="1"/>
    </cacheField>
    <cacheField name="Age_in_years" numFmtId="0">
      <sharedItems containsBlank="1" containsMixedTypes="1" containsNumber="1" minValue="-1.3333333329999999" maxValue="5.83"/>
    </cacheField>
    <cacheField name="Age_in_months" numFmtId="0">
      <sharedItems containsBlank="1" containsMixedTypes="1" containsNumber="1" containsInteger="1" minValue="-16" maxValue="64"/>
    </cacheField>
    <cacheField name="Age_Months_Clean" numFmtId="0">
      <sharedItems containsBlank="1" containsMixedTypes="1" containsNumber="1" containsInteger="1" minValue="-16" maxValue="64"/>
    </cacheField>
    <cacheField name="Age_Months_Final" numFmtId="0">
      <sharedItems containsString="0" containsBlank="1" containsNumber="1" minValue="3" maxValue="64"/>
    </cacheField>
    <cacheField name="Age_Group" numFmtId="0">
      <sharedItems containsBlank="1" count="5">
        <s v="Kitten"/>
        <s v="Young"/>
        <s v="Senior"/>
        <s v="Adult"/>
        <m/>
      </sharedItems>
    </cacheField>
    <cacheField name="Gender" numFmtId="0">
      <sharedItems containsBlank="1"/>
    </cacheField>
    <cacheField name="Gender_Clean" numFmtId="0">
      <sharedItems containsBlank="1"/>
    </cacheField>
    <cacheField name="Gender_Final" numFmtId="0">
      <sharedItems containsBlank="1" count="4">
        <s v="Female"/>
        <s v="Male"/>
        <s v="Unknown"/>
        <m/>
      </sharedItems>
    </cacheField>
    <cacheField name="Neutered_or_spayed" numFmtId="0">
      <sharedItems containsBlank="1"/>
    </cacheField>
    <cacheField name="Body_length" numFmtId="0">
      <sharedItems containsBlank="1" containsMixedTypes="1" containsNumber="1" containsInteger="1" minValue="19" maxValue="44"/>
    </cacheField>
    <cacheField name="Weight" numFmtId="0">
      <sharedItems containsBlank="1" containsMixedTypes="1" containsNumber="1" minValue="2" maxValue="5.6"/>
    </cacheField>
    <cacheField name="Weight_Clea" numFmtId="0">
      <sharedItems containsString="0" containsBlank="1" containsNumber="1" minValue="0" maxValue="5.6"/>
    </cacheField>
    <cacheField name="Fur_colour_dominant" numFmtId="0">
      <sharedItems containsBlank="1"/>
    </cacheField>
    <cacheField name="Fur_colour_dominant_Clean" numFmtId="0">
      <sharedItems containsBlank="1"/>
    </cacheField>
    <cacheField name="Fur_colour_dominant_Final" numFmtId="0">
      <sharedItems containsBlank="1" count="5">
        <s v="White"/>
        <s v="Unknown"/>
        <s v="Red/Cream"/>
        <s v="Black"/>
        <m/>
      </sharedItems>
    </cacheField>
    <cacheField name="Fur_pattern" numFmtId="0">
      <sharedItems containsBlank="1"/>
    </cacheField>
    <cacheField name="Fur_Pattern_Final" numFmtId="0">
      <sharedItems containsBlank="1"/>
    </cacheField>
    <cacheField name="Eye_colour" numFmtId="0">
      <sharedItems containsBlank="1"/>
    </cacheField>
    <cacheField name="Eye_Colour_Clean" numFmtId="0">
      <sharedItems containsBlank="1"/>
    </cacheField>
    <cacheField name="Eye_Colour_Final" numFmtId="0">
      <sharedItems containsBlank="1" count="5">
        <s v="Blue"/>
        <s v="Green"/>
        <s v="Amber"/>
        <s v="Unknown"/>
        <m/>
      </sharedItems>
    </cacheField>
    <cacheField name="Allowed_outdoor" numFmtId="0">
      <sharedItems containsBlank="1"/>
    </cacheField>
    <cacheField name="Allowed_outdoor_Clean" numFmtId="0">
      <sharedItems containsBlank="1" count="4">
        <s v="No"/>
        <s v="Yes"/>
        <s v="N/A"/>
        <m/>
      </sharedItems>
    </cacheField>
    <cacheField name="Preferred_food" numFmtId="0">
      <sharedItems containsBlank="1"/>
    </cacheField>
    <cacheField name="Preferred_food_Clean " numFmtId="0">
      <sharedItems containsBlank="1"/>
    </cacheField>
    <cacheField name="Preferred_food_Final" numFmtId="0">
      <sharedItems containsBlank="1"/>
    </cacheField>
    <cacheField name="Owner_play_time_minutes" numFmtId="0">
      <sharedItems containsBlank="1" containsMixedTypes="1" containsNumber="1" containsInteger="1" minValue="9" maxValue="1175"/>
    </cacheField>
    <cacheField name="Sleep_time_hours" numFmtId="0">
      <sharedItems containsBlank="1" containsMixedTypes="1" containsNumber="1" containsInteger="1" minValue="8" maxValue="32"/>
    </cacheField>
    <cacheField name="Country" numFmtId="0">
      <sharedItems containsBlank="1" count="3">
        <s v="France"/>
        <s v="unknown"/>
        <m/>
      </sharedItems>
    </cacheField>
    <cacheField name="Country_Clean" numFmtId="0">
      <sharedItems containsBlank="1"/>
    </cacheField>
    <cacheField name="Latitude" numFmtId="0">
      <sharedItems containsString="0" containsBlank="1" containsNumber="1" minValue="43.296481999999997" maxValue="48.864716000000001"/>
    </cacheField>
    <cacheField name="Longitude" numFmtId="0">
      <sharedItems containsString="0" containsBlank="1" containsNumber="1" minValue="-1.5536209999999999" maxValue="5.3697800000000004"/>
    </cacheField>
  </cacheFields>
  <extLst>
    <ext xmlns:x14="http://schemas.microsoft.com/office/spreadsheetml/2009/9/main" uri="{725AE2AE-9491-48be-B2B4-4EB974FC3084}">
      <x14:pivotCacheDefinition pivotCacheId="423989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Angora"/>
    <n v="0.25"/>
    <n v="3"/>
    <n v="3"/>
    <n v="3"/>
    <x v="0"/>
    <s v="female"/>
    <s v="female"/>
    <x v="0"/>
    <b v="0"/>
    <n v="19"/>
    <n v="2"/>
    <n v="2"/>
    <s v="white"/>
    <s v="white"/>
    <x v="0"/>
    <s v="solid"/>
    <s v="Solid"/>
    <s v="blue"/>
    <s v="blue"/>
    <x v="0"/>
    <b v="0"/>
    <x v="0"/>
    <s v="wet"/>
    <s v="wet"/>
    <s v="Wet"/>
    <n v="46"/>
    <n v="16"/>
    <x v="0"/>
    <s v="France"/>
    <n v="43.296481999999997"/>
    <n v="5.3697800000000004"/>
  </r>
  <r>
    <s v="Angora"/>
    <n v="0.33"/>
    <n v="4"/>
    <n v="4"/>
    <n v="4"/>
    <x v="0"/>
    <s v="male"/>
    <s v="male"/>
    <x v="1"/>
    <b v="0"/>
    <n v="19"/>
    <n v="2.5"/>
    <n v="2.5"/>
    <s v="white"/>
    <s v="white"/>
    <x v="0"/>
    <s v="solid"/>
    <s v="Solid"/>
    <s v="blue"/>
    <s v="blue"/>
    <x v="0"/>
    <b v="0"/>
    <x v="0"/>
    <s v="wet"/>
    <s v="wet"/>
    <s v="Wet"/>
    <n v="48"/>
    <n v="16"/>
    <x v="0"/>
    <s v="France"/>
    <n v="43.611660000000001"/>
    <n v="3.87771"/>
  </r>
  <r>
    <s v="Angora"/>
    <n v="0.5"/>
    <s v="N/A"/>
    <s v="N/A"/>
    <m/>
    <x v="0"/>
    <s v="N/A"/>
    <s v="Unknown"/>
    <x v="2"/>
    <b v="0"/>
    <n v="20"/>
    <n v="2.8"/>
    <n v="2.8"/>
    <s v="what does it mean dominant?"/>
    <s v="Unknown"/>
    <x v="1"/>
    <s v="solid"/>
    <s v="Solid"/>
    <s v="green"/>
    <s v="green"/>
    <x v="1"/>
    <s v="I never allow my kitty outside!!!!!"/>
    <x v="0"/>
    <s v="wet"/>
    <s v="wet"/>
    <s v="Wet"/>
    <n v="41"/>
    <n v="11"/>
    <x v="0"/>
    <s v="France"/>
    <n v="44.837789000000001"/>
    <n v="-0.57918000000000003"/>
  </r>
  <r>
    <s v="Ankora"/>
    <n v="0.5"/>
    <s v="N/A"/>
    <s v="N/A"/>
    <m/>
    <x v="0"/>
    <s v="N/A"/>
    <s v="Unknown"/>
    <x v="2"/>
    <b v="0"/>
    <n v="21"/>
    <n v="3"/>
    <n v="3"/>
    <s v="white"/>
    <s v="white"/>
    <x v="0"/>
    <s v="dirty"/>
    <s v="Dirty"/>
    <s v="blue"/>
    <s v="blue"/>
    <x v="0"/>
    <b v="0"/>
    <x v="0"/>
    <s v="wet"/>
    <s v="wet"/>
    <s v="Wet"/>
    <n v="24"/>
    <n v="8"/>
    <x v="0"/>
    <s v="France"/>
    <n v="43.611660000000001"/>
    <n v="3.87771"/>
  </r>
  <r>
    <s v="Angora"/>
    <n v="0.5"/>
    <s v="N/A"/>
    <s v="N/A"/>
    <m/>
    <x v="0"/>
    <s v="N/A"/>
    <s v="Unknown"/>
    <x v="2"/>
    <s v="N/A"/>
    <n v="21"/>
    <n v="3"/>
    <n v="3"/>
    <s v="red/cream"/>
    <s v="red/cream"/>
    <x v="2"/>
    <s v="tabby"/>
    <s v="Tabby"/>
    <s v="green"/>
    <s v="green"/>
    <x v="1"/>
    <b v="0"/>
    <x v="0"/>
    <s v="wet"/>
    <s v="wet"/>
    <s v="Wet"/>
    <n v="51"/>
    <n v="10"/>
    <x v="0"/>
    <s v="France"/>
    <n v="48.864716000000001"/>
    <n v="2.3490139999999999"/>
  </r>
  <r>
    <s v="N/A"/>
    <n v="0.5"/>
    <n v="6"/>
    <n v="6"/>
    <n v="6"/>
    <x v="0"/>
    <s v="female"/>
    <s v="female"/>
    <x v="0"/>
    <b v="0"/>
    <n v="21"/>
    <n v="3"/>
    <n v="3"/>
    <s v="white"/>
    <s v="white"/>
    <x v="0"/>
    <s v="solid"/>
    <s v="Solid"/>
    <s v="amber"/>
    <s v="amber"/>
    <x v="2"/>
    <b v="0"/>
    <x v="0"/>
    <s v="a lot of food"/>
    <s v="Unknown"/>
    <s v="Unknown"/>
    <n v="30"/>
    <n v="28"/>
    <x v="0"/>
    <s v="France"/>
    <n v="43.611660000000001"/>
    <n v="3.87771"/>
  </r>
  <r>
    <s v="Angora"/>
    <n v="0.57999999999999996"/>
    <s v="N/A"/>
    <s v="N/A"/>
    <m/>
    <x v="0"/>
    <s v="N/A"/>
    <s v="Unknown"/>
    <x v="2"/>
    <s v="N/A"/>
    <n v="22"/>
    <n v="3"/>
    <n v="3"/>
    <s v="white"/>
    <s v="white"/>
    <x v="0"/>
    <s v="solid"/>
    <s v="Solid"/>
    <s v="amber"/>
    <s v="amber"/>
    <x v="2"/>
    <b v="0"/>
    <x v="0"/>
    <s v="wet"/>
    <s v="wet"/>
    <s v="Wet"/>
    <n v="47"/>
    <n v="9"/>
    <x v="0"/>
    <s v="France"/>
    <n v="47.218370999999998"/>
    <n v="-1.5536209999999999"/>
  </r>
  <r>
    <s v="Angora"/>
    <s v="N/A"/>
    <n v="7"/>
    <n v="7"/>
    <n v="7"/>
    <x v="0"/>
    <s v="N/A"/>
    <s v="Unknown"/>
    <x v="2"/>
    <s v="N/A"/>
    <n v="23"/>
    <n v="3"/>
    <n v="3"/>
    <s v="red/cream"/>
    <s v="red/cream"/>
    <x v="2"/>
    <s v="N/A"/>
    <s v="N/A"/>
    <s v="cute"/>
    <s v="Unknown"/>
    <x v="3"/>
    <b v="0"/>
    <x v="0"/>
    <s v="wet"/>
    <s v="wet"/>
    <s v="Wet"/>
    <n v="55"/>
    <n v="11"/>
    <x v="0"/>
    <s v="France"/>
    <n v="47.218370999999998"/>
    <n v="-1.5536209999999999"/>
  </r>
  <r>
    <s v="Angora"/>
    <s v="N/A"/>
    <n v="7"/>
    <n v="7"/>
    <n v="7"/>
    <x v="0"/>
    <s v="female"/>
    <s v="female"/>
    <x v="0"/>
    <s v="N/A"/>
    <n v="25"/>
    <n v="3"/>
    <n v="3"/>
    <s v="black"/>
    <s v="black"/>
    <x v="3"/>
    <s v="N/A"/>
    <s v="N/A"/>
    <s v="blue"/>
    <s v="blue"/>
    <x v="0"/>
    <b v="0"/>
    <x v="0"/>
    <s v="wet"/>
    <s v="wet"/>
    <s v="Wet"/>
    <n v="20"/>
    <n v="12"/>
    <x v="0"/>
    <s v="France"/>
    <n v="43.296481999999997"/>
    <n v="5.3697800000000004"/>
  </r>
  <r>
    <s v="Angora"/>
    <s v="N/A"/>
    <n v="8"/>
    <n v="8"/>
    <n v="8"/>
    <x v="0"/>
    <s v="female"/>
    <s v="female"/>
    <x v="0"/>
    <s v="N/A"/>
    <n v="25"/>
    <n v="3.2"/>
    <n v="3.2"/>
    <s v="white"/>
    <s v="white"/>
    <x v="0"/>
    <s v="N/A"/>
    <s v="N/A"/>
    <s v="blue"/>
    <s v="blue"/>
    <x v="0"/>
    <b v="0"/>
    <x v="0"/>
    <s v="wet"/>
    <s v="wet"/>
    <s v="Wet"/>
    <n v="33"/>
    <n v="17"/>
    <x v="0"/>
    <s v="France"/>
    <n v="44.837789000000001"/>
    <n v="-0.57918000000000003"/>
  </r>
  <r>
    <s v="N/A"/>
    <n v="0.67"/>
    <n v="8"/>
    <n v="8"/>
    <n v="8"/>
    <x v="0"/>
    <s v="female"/>
    <s v="female"/>
    <x v="0"/>
    <b v="0"/>
    <n v="26"/>
    <n v="3"/>
    <n v="3"/>
    <s v="black"/>
    <s v="black"/>
    <x v="3"/>
    <s v="solid"/>
    <s v="Solid"/>
    <s v="green"/>
    <s v="green"/>
    <x v="1"/>
    <b v="0"/>
    <x v="0"/>
    <s v="wet"/>
    <s v="wet"/>
    <s v="Wet"/>
    <n v="39"/>
    <n v="18"/>
    <x v="0"/>
    <s v="France"/>
    <n v="43.296481999999997"/>
    <n v="5.3697800000000004"/>
  </r>
  <r>
    <s v="Angora"/>
    <n v="0.67"/>
    <n v="8"/>
    <n v="8"/>
    <n v="8"/>
    <x v="0"/>
    <s v="male"/>
    <s v="male"/>
    <x v="1"/>
    <s v="N/A"/>
    <n v="26"/>
    <n v="3.3"/>
    <n v="3.3"/>
    <s v="white"/>
    <s v="white"/>
    <x v="0"/>
    <s v="N/A"/>
    <s v="N/A"/>
    <s v="amber"/>
    <s v="amber"/>
    <x v="2"/>
    <b v="0"/>
    <x v="0"/>
    <s v="wet"/>
    <s v="wet"/>
    <s v="Wet"/>
    <s v="N/A"/>
    <s v="N/A"/>
    <x v="0"/>
    <s v="France"/>
    <n v="43.611660000000001"/>
    <n v="3.87771"/>
  </r>
  <r>
    <s v="Angora"/>
    <n v="0.75"/>
    <n v="9"/>
    <n v="9"/>
    <n v="9"/>
    <x v="0"/>
    <s v="male"/>
    <s v="male"/>
    <x v="1"/>
    <s v="N/A"/>
    <n v="27"/>
    <n v="3.3"/>
    <n v="3.3"/>
    <s v="white"/>
    <s v="white"/>
    <x v="0"/>
    <s v="N/A"/>
    <s v="N/A"/>
    <s v="amber"/>
    <s v="amber"/>
    <x v="2"/>
    <b v="0"/>
    <x v="0"/>
    <s v="wet"/>
    <s v="wet"/>
    <s v="Wet"/>
    <s v="N/A"/>
    <s v="N/A"/>
    <x v="0"/>
    <s v="France"/>
    <n v="48.864716000000001"/>
    <n v="2.3490139999999999"/>
  </r>
  <r>
    <s v="Angora"/>
    <n v="-1.0833333329999999"/>
    <n v="-13"/>
    <n v="-13"/>
    <n v="13"/>
    <x v="1"/>
    <s v="male"/>
    <s v="male"/>
    <x v="1"/>
    <s v="N/A"/>
    <n v="28"/>
    <n v="3.2"/>
    <n v="3.2"/>
    <s v="white"/>
    <s v="white"/>
    <x v="0"/>
    <s v="solid"/>
    <s v="Solid"/>
    <s v="blue"/>
    <s v="blue"/>
    <x v="0"/>
    <b v="0"/>
    <x v="0"/>
    <s v="wet"/>
    <s v="wet"/>
    <s v="Wet"/>
    <n v="35"/>
    <n v="14"/>
    <x v="0"/>
    <s v="France"/>
    <n v="45.763420000000004"/>
    <n v="4.8342770000000002"/>
  </r>
  <r>
    <s v="Angora"/>
    <n v="-1.3333333329999999"/>
    <n v="-16"/>
    <n v="-16"/>
    <n v="16"/>
    <x v="1"/>
    <s v="male"/>
    <s v="male"/>
    <x v="1"/>
    <s v="N/A"/>
    <n v="30"/>
    <n v="3.5"/>
    <n v="3.5"/>
    <s v="red/cream"/>
    <s v="red/cream"/>
    <x v="2"/>
    <s v="tabby"/>
    <s v="Tabby"/>
    <s v="blue"/>
    <s v="blue"/>
    <x v="0"/>
    <b v="0"/>
    <x v="0"/>
    <s v="dry"/>
    <s v="dry"/>
    <s v="Dry"/>
    <n v="38"/>
    <n v="20"/>
    <x v="0"/>
    <s v="France"/>
    <n v="48.864716000000001"/>
    <n v="2.3490139999999999"/>
  </r>
  <r>
    <s v="N/A"/>
    <n v="0.83"/>
    <n v="10"/>
    <n v="10"/>
    <n v="10"/>
    <x v="0"/>
    <s v="male"/>
    <s v="male"/>
    <x v="1"/>
    <b v="0"/>
    <n v="31"/>
    <n v="3.4"/>
    <n v="3.4"/>
    <s v="white"/>
    <s v="white"/>
    <x v="0"/>
    <s v="solid"/>
    <s v="Solid"/>
    <s v="green"/>
    <s v="green"/>
    <x v="1"/>
    <b v="0"/>
    <x v="0"/>
    <s v="dry"/>
    <s v="dry"/>
    <s v="Dry"/>
    <n v="56"/>
    <n v="17"/>
    <x v="0"/>
    <s v="France"/>
    <n v="48.864716000000001"/>
    <n v="2.3490139999999999"/>
  </r>
  <r>
    <s v="N/A"/>
    <s v="N/A"/>
    <s v="N/A"/>
    <s v="N/A"/>
    <m/>
    <x v="0"/>
    <s v="N/A"/>
    <s v="Unknown"/>
    <x v="2"/>
    <s v="N/A"/>
    <s v="N/A"/>
    <s v="N/A"/>
    <n v="0"/>
    <s v="N/A"/>
    <s v="Unknown"/>
    <x v="1"/>
    <s v="N/A"/>
    <s v="N/A"/>
    <s v="green"/>
    <s v="green"/>
    <x v="1"/>
    <b v="0"/>
    <x v="0"/>
    <s v="wet"/>
    <s v="wet"/>
    <s v="Wet"/>
    <n v="48"/>
    <n v="14"/>
    <x v="1"/>
    <s v="Unknown"/>
    <n v="47.218370999999998"/>
    <n v="-1.5536209999999999"/>
  </r>
  <r>
    <s v="N/A"/>
    <n v="0.92"/>
    <n v="11"/>
    <n v="11"/>
    <n v="11"/>
    <x v="0"/>
    <s v="female"/>
    <s v="female"/>
    <x v="0"/>
    <b v="1"/>
    <n v="31"/>
    <n v="3.9"/>
    <n v="3.9"/>
    <s v="white"/>
    <s v="white"/>
    <x v="0"/>
    <s v="solid"/>
    <s v="Solid"/>
    <s v="N/A"/>
    <s v="Unknown"/>
    <x v="3"/>
    <s v="N/A"/>
    <x v="0"/>
    <s v="wet"/>
    <s v="wet"/>
    <s v="Wet"/>
    <n v="55"/>
    <n v="32"/>
    <x v="1"/>
    <s v="Unknown"/>
    <n v="44.837789000000001"/>
    <n v="-0.57918000000000003"/>
  </r>
  <r>
    <s v="Angora"/>
    <n v="-1"/>
    <n v="-12"/>
    <n v="-12"/>
    <n v="12"/>
    <x v="0"/>
    <s v="male"/>
    <s v="male"/>
    <x v="1"/>
    <s v="N/A"/>
    <n v="31"/>
    <n v="3.5"/>
    <n v="3.5"/>
    <s v="white"/>
    <s v="white"/>
    <x v="0"/>
    <s v="solid"/>
    <s v="Solid"/>
    <s v="blue"/>
    <s v="blue"/>
    <x v="0"/>
    <b v="1"/>
    <x v="1"/>
    <s v="wet"/>
    <s v="wet"/>
    <s v="Wet"/>
    <n v="42"/>
    <n v="14"/>
    <x v="1"/>
    <s v="Unknown"/>
    <n v="43.296481999999997"/>
    <n v="5.3697800000000004"/>
  </r>
  <r>
    <s v="Angora"/>
    <n v="1"/>
    <n v="12"/>
    <n v="12"/>
    <n v="12"/>
    <x v="0"/>
    <s v="male"/>
    <s v="male"/>
    <x v="1"/>
    <s v="N/A"/>
    <n v="35"/>
    <n v="3.9"/>
    <n v="3.9"/>
    <s v="white"/>
    <s v="white"/>
    <x v="0"/>
    <s v="solid"/>
    <s v="Solid"/>
    <s v="amber"/>
    <s v="amber"/>
    <x v="2"/>
    <b v="0"/>
    <x v="0"/>
    <s v="wet"/>
    <s v="wet"/>
    <s v="Wet"/>
    <n v="41"/>
    <n v="17"/>
    <x v="1"/>
    <s v="Unknown"/>
    <n v="45.763420000000004"/>
    <n v="4.8342770000000002"/>
  </r>
  <r>
    <s v="Angora"/>
    <n v="4.33"/>
    <s v="N/A"/>
    <s v="N/A"/>
    <m/>
    <x v="0"/>
    <s v="male"/>
    <s v="male"/>
    <x v="1"/>
    <s v="N/A"/>
    <n v="25"/>
    <n v="4"/>
    <n v="4"/>
    <s v="white"/>
    <s v="white"/>
    <x v="0"/>
    <s v="solid"/>
    <s v="Solid"/>
    <s v="blue"/>
    <s v="blue"/>
    <x v="0"/>
    <b v="0"/>
    <x v="0"/>
    <s v="dry"/>
    <s v="dry"/>
    <s v="Dry"/>
    <n v="36"/>
    <n v="14"/>
    <x v="0"/>
    <s v="France"/>
    <n v="44.837789000000001"/>
    <n v="-0.57918000000000003"/>
  </r>
  <r>
    <s v="Angora"/>
    <n v="1.17"/>
    <s v="N/A"/>
    <s v="N/A"/>
    <m/>
    <x v="0"/>
    <s v="female"/>
    <s v="female"/>
    <x v="0"/>
    <s v="N/A"/>
    <n v="34"/>
    <n v="3.8"/>
    <n v="3.8"/>
    <s v="white"/>
    <s v="white"/>
    <x v="0"/>
    <s v="solid"/>
    <s v="Solid"/>
    <s v="blue"/>
    <s v="blue"/>
    <x v="0"/>
    <b v="1"/>
    <x v="1"/>
    <s v="wet"/>
    <s v="wet"/>
    <s v="Wet"/>
    <n v="23"/>
    <n v="17"/>
    <x v="0"/>
    <s v="France"/>
    <n v="48.864716000000001"/>
    <n v="2.3490139999999999"/>
  </r>
  <r>
    <s v="Ankora"/>
    <n v="3"/>
    <s v="N/A"/>
    <s v="N/A"/>
    <m/>
    <x v="0"/>
    <s v="male"/>
    <s v="male"/>
    <x v="1"/>
    <b v="1"/>
    <n v="38"/>
    <n v="5"/>
    <n v="5"/>
    <s v="white"/>
    <s v="white"/>
    <x v="0"/>
    <s v="solid"/>
    <s v="Solid"/>
    <s v="amber"/>
    <s v="amber"/>
    <x v="2"/>
    <b v="0"/>
    <x v="0"/>
    <s v="wet"/>
    <s v="wet"/>
    <s v="Wet"/>
    <n v="16"/>
    <n v="14"/>
    <x v="0"/>
    <s v="France"/>
    <n v="43.296481999999997"/>
    <n v="5.3697800000000004"/>
  </r>
  <r>
    <s v="Ankora"/>
    <n v="1.17"/>
    <s v="N/A"/>
    <s v="N/A"/>
    <m/>
    <x v="0"/>
    <s v="female"/>
    <s v="female"/>
    <x v="0"/>
    <b v="1"/>
    <n v="25"/>
    <n v="3"/>
    <n v="3"/>
    <s v="white"/>
    <s v="white"/>
    <x v="0"/>
    <s v="solid"/>
    <s v="Solid"/>
    <s v="amber"/>
    <s v="amber"/>
    <x v="2"/>
    <b v="0"/>
    <x v="0"/>
    <s v="wet"/>
    <s v="wet"/>
    <s v="Wet"/>
    <n v="19"/>
    <n v="17"/>
    <x v="0"/>
    <s v="France"/>
    <n v="45.763420000000004"/>
    <n v="4.8342770000000002"/>
  </r>
  <r>
    <s v="Angora"/>
    <n v="4"/>
    <s v="N/A"/>
    <s v="N/A"/>
    <m/>
    <x v="0"/>
    <s v="male"/>
    <s v="male"/>
    <x v="1"/>
    <b v="1"/>
    <n v="39"/>
    <n v="4.5999999999999996"/>
    <n v="4.5999999999999996"/>
    <s v="white"/>
    <s v="white"/>
    <x v="0"/>
    <s v="dirty"/>
    <s v="Dirty"/>
    <s v="cute"/>
    <s v="Unknown"/>
    <x v="3"/>
    <b v="0"/>
    <x v="0"/>
    <s v="wet"/>
    <s v="wet"/>
    <s v="Wet"/>
    <n v="33"/>
    <n v="14"/>
    <x v="0"/>
    <s v="France"/>
    <n v="45.763420000000004"/>
    <n v="4.8342770000000002"/>
  </r>
  <r>
    <s v="Angora"/>
    <n v="5.83"/>
    <s v="N/A"/>
    <s v="N/A"/>
    <m/>
    <x v="0"/>
    <s v="male"/>
    <s v="male"/>
    <x v="1"/>
    <b v="1"/>
    <n v="37"/>
    <n v="4.5999999999999996"/>
    <n v="4.5999999999999996"/>
    <s v="black"/>
    <s v="black"/>
    <x v="3"/>
    <s v="solid"/>
    <s v="Solid"/>
    <s v="green"/>
    <s v="green"/>
    <x v="1"/>
    <b v="1"/>
    <x v="1"/>
    <s v="dry"/>
    <s v="dry"/>
    <s v="Dry"/>
    <n v="9"/>
    <n v="16"/>
    <x v="0"/>
    <s v="France"/>
    <n v="48.864716000000001"/>
    <n v="2.3490139999999999"/>
  </r>
  <r>
    <s v="Angora"/>
    <n v="1.25"/>
    <n v="15"/>
    <n v="15"/>
    <n v="15"/>
    <x v="1"/>
    <s v="female"/>
    <s v="female"/>
    <x v="0"/>
    <b v="1"/>
    <n v="26"/>
    <n v="3.4"/>
    <n v="3.4"/>
    <s v="white"/>
    <s v="white"/>
    <x v="0"/>
    <s v="solid"/>
    <s v="Solid"/>
    <s v="blue"/>
    <s v="blue"/>
    <x v="0"/>
    <b v="0"/>
    <x v="0"/>
    <s v="wet"/>
    <s v="wet"/>
    <s v="Wet"/>
    <n v="25"/>
    <n v="15"/>
    <x v="0"/>
    <s v="France"/>
    <n v="43.296481999999997"/>
    <n v="5.3697800000000004"/>
  </r>
  <r>
    <s v="Angora"/>
    <n v="5.33"/>
    <n v="64"/>
    <n v="64"/>
    <n v="64"/>
    <x v="2"/>
    <s v="male"/>
    <s v="male"/>
    <x v="1"/>
    <b v="1"/>
    <n v="44"/>
    <n v="4.5999999999999996"/>
    <n v="4.5999999999999996"/>
    <s v="white"/>
    <s v="white"/>
    <x v="0"/>
    <s v="solid"/>
    <s v="Solid"/>
    <s v="blue"/>
    <s v="blue"/>
    <x v="0"/>
    <b v="1"/>
    <x v="1"/>
    <s v="wet"/>
    <s v="wet"/>
    <s v="Wet"/>
    <n v="20"/>
    <n v="16"/>
    <x v="0"/>
    <s v="France"/>
    <n v="44.837789000000001"/>
    <n v="-0.57918000000000003"/>
  </r>
  <r>
    <s v="Angora"/>
    <s v="N/A"/>
    <n v="15"/>
    <n v="15"/>
    <n v="15"/>
    <x v="1"/>
    <s v="male"/>
    <s v="male"/>
    <x v="1"/>
    <b v="1"/>
    <n v="40"/>
    <n v="3.8"/>
    <n v="3.8"/>
    <s v="red/cream"/>
    <s v="red/cream"/>
    <x v="2"/>
    <s v="tabby"/>
    <s v="Tabby"/>
    <s v="blue"/>
    <s v="blue"/>
    <x v="0"/>
    <b v="0"/>
    <x v="0"/>
    <s v="wet"/>
    <s v="wet"/>
    <s v="Wet"/>
    <n v="35"/>
    <n v="17"/>
    <x v="0"/>
    <s v="France"/>
    <n v="45.763420000000004"/>
    <n v="4.8342770000000002"/>
  </r>
  <r>
    <s v="Angora"/>
    <s v="N/A"/>
    <n v="59"/>
    <n v="59"/>
    <n v="59"/>
    <x v="3"/>
    <s v="male"/>
    <s v="male"/>
    <x v="1"/>
    <b v="0"/>
    <n v="41"/>
    <n v="5"/>
    <n v="5"/>
    <s v="black"/>
    <s v="black"/>
    <x v="3"/>
    <s v="solid"/>
    <s v="Solid"/>
    <s v="green"/>
    <s v="green"/>
    <x v="1"/>
    <b v="0"/>
    <x v="0"/>
    <s v="dry"/>
    <s v="dry"/>
    <s v="Dry"/>
    <n v="31"/>
    <n v="14"/>
    <x v="0"/>
    <s v="France"/>
    <n v="47.218370999999998"/>
    <n v="-1.5536209999999999"/>
  </r>
  <r>
    <s v="Angora"/>
    <s v="N/A"/>
    <n v="18"/>
    <n v="18"/>
    <n v="18"/>
    <x v="1"/>
    <s v="male"/>
    <s v="male"/>
    <x v="1"/>
    <b v="0"/>
    <n v="40"/>
    <n v="3.6"/>
    <n v="3.6"/>
    <s v="white"/>
    <s v="white"/>
    <x v="0"/>
    <s v="solid"/>
    <s v="Solid"/>
    <s v="N/A"/>
    <s v="Unknown"/>
    <x v="3"/>
    <b v="0"/>
    <x v="0"/>
    <s v="wet"/>
    <s v="wet"/>
    <s v="Wet"/>
    <n v="27"/>
    <n v="14"/>
    <x v="0"/>
    <s v="France"/>
    <n v="43.296481999999997"/>
    <n v="5.3697800000000004"/>
  </r>
  <r>
    <s v="Angora"/>
    <n v="1.58"/>
    <n v="19"/>
    <n v="19"/>
    <n v="19"/>
    <x v="1"/>
    <s v="female"/>
    <s v="female"/>
    <x v="0"/>
    <b v="1"/>
    <n v="33"/>
    <n v="3.5"/>
    <n v="3.5"/>
    <s v="white"/>
    <s v="white"/>
    <x v="0"/>
    <s v="solid"/>
    <s v="Solid"/>
    <s v="N/A"/>
    <s v="Unknown"/>
    <x v="3"/>
    <b v="0"/>
    <x v="0"/>
    <s v="dry"/>
    <s v="dry"/>
    <s v="Dry"/>
    <n v="18"/>
    <n v="18"/>
    <x v="0"/>
    <s v="France"/>
    <n v="48.864716000000001"/>
    <n v="2.3490139999999999"/>
  </r>
  <r>
    <s v="Angora"/>
    <n v="1.58"/>
    <n v="19"/>
    <n v="19"/>
    <n v="19"/>
    <x v="1"/>
    <s v="female"/>
    <s v="female"/>
    <x v="0"/>
    <b v="1"/>
    <n v="33"/>
    <n v="3.2"/>
    <n v="3.2"/>
    <s v="white"/>
    <s v="white"/>
    <x v="0"/>
    <s v="solid"/>
    <s v="Solid"/>
    <s v="N/A"/>
    <s v="Unknown"/>
    <x v="3"/>
    <b v="1"/>
    <x v="1"/>
    <s v="wet"/>
    <s v="wet"/>
    <s v="Wet"/>
    <n v="12"/>
    <n v="19"/>
    <x v="0"/>
    <s v="France"/>
    <n v="48.864716000000001"/>
    <n v="2.3490139999999999"/>
  </r>
  <r>
    <s v="Angora"/>
    <n v="4.5"/>
    <n v="54"/>
    <n v="54"/>
    <n v="54"/>
    <x v="3"/>
    <s v="male"/>
    <s v="male"/>
    <x v="1"/>
    <b v="1"/>
    <n v="37"/>
    <n v="5.6"/>
    <n v="5.6"/>
    <s v="white"/>
    <s v="white"/>
    <x v="0"/>
    <s v="solid"/>
    <s v="Solid"/>
    <s v="N/A"/>
    <s v="Unknown"/>
    <x v="3"/>
    <b v="0"/>
    <x v="0"/>
    <s v="wet"/>
    <s v="wet"/>
    <s v="Wet"/>
    <n v="9"/>
    <n v="14"/>
    <x v="0"/>
    <s v="France"/>
    <n v="47.218370999999998"/>
    <n v="-1.5536209999999999"/>
  </r>
  <r>
    <s v="Angora"/>
    <n v="4.75"/>
    <n v="57"/>
    <n v="57"/>
    <n v="57"/>
    <x v="3"/>
    <s v="N/A"/>
    <s v="Unknown"/>
    <x v="2"/>
    <b v="0"/>
    <n v="41"/>
    <n v="4.2"/>
    <n v="4.2"/>
    <s v="black"/>
    <s v="black"/>
    <x v="3"/>
    <s v="solid"/>
    <s v="Solid"/>
    <s v="N/A"/>
    <s v="Unknown"/>
    <x v="3"/>
    <b v="1"/>
    <x v="1"/>
    <s v="dry"/>
    <s v="dry"/>
    <s v="Dry"/>
    <n v="19"/>
    <n v="14"/>
    <x v="0"/>
    <s v="France"/>
    <n v="44.837789000000001"/>
    <n v="-0.57918000000000003"/>
  </r>
  <r>
    <s v="N/A"/>
    <n v="1.67"/>
    <n v="20"/>
    <n v="20"/>
    <n v="20"/>
    <x v="1"/>
    <s v="female"/>
    <s v="female"/>
    <x v="0"/>
    <b v="1"/>
    <n v="35"/>
    <n v="5"/>
    <n v="5"/>
    <s v="white"/>
    <s v="white"/>
    <x v="0"/>
    <s v="solid"/>
    <s v="Solid"/>
    <s v="N/A"/>
    <s v="Unknown"/>
    <x v="3"/>
    <s v="N/A"/>
    <x v="2"/>
    <s v="wet"/>
    <s v="wet"/>
    <s v="Wet"/>
    <n v="10"/>
    <n v="15"/>
    <x v="0"/>
    <s v="France"/>
    <n v="45.763420000000004"/>
    <n v="4.8342770000000002"/>
  </r>
  <r>
    <s v="N/A"/>
    <n v="1.67"/>
    <n v="20"/>
    <n v="20"/>
    <n v="20"/>
    <x v="1"/>
    <s v="male"/>
    <s v="male"/>
    <x v="1"/>
    <b v="1"/>
    <n v="28"/>
    <n v="3.1"/>
    <n v="3.1"/>
    <s v="white"/>
    <s v="white"/>
    <x v="0"/>
    <s v="solid"/>
    <s v="Solid"/>
    <s v="N/A"/>
    <s v="Unknown"/>
    <x v="3"/>
    <s v="N/A"/>
    <x v="2"/>
    <s v="wet"/>
    <s v="wet"/>
    <s v="Wet"/>
    <n v="39"/>
    <n v="18"/>
    <x v="0"/>
    <s v="France"/>
    <n v="43.296481999999997"/>
    <n v="5.3697800000000004"/>
  </r>
  <r>
    <s v="N/A"/>
    <n v="1.67"/>
    <n v="20"/>
    <n v="20"/>
    <n v="20"/>
    <x v="1"/>
    <s v="male"/>
    <s v="male"/>
    <x v="1"/>
    <b v="0"/>
    <n v="36"/>
    <n v="3.9"/>
    <n v="3.9"/>
    <s v="black"/>
    <s v="black"/>
    <x v="3"/>
    <s v="solid"/>
    <s v="Solid"/>
    <s v="N/A"/>
    <s v="Unknown"/>
    <x v="3"/>
    <s v="N/A"/>
    <x v="2"/>
    <s v="wet"/>
    <s v="wet"/>
    <s v="Wet"/>
    <n v="35"/>
    <n v="19"/>
    <x v="0"/>
    <s v="France"/>
    <n v="43.611660000000001"/>
    <n v="3.87771"/>
  </r>
  <r>
    <s v="N/A"/>
    <n v="1.75"/>
    <n v="21"/>
    <n v="21"/>
    <n v="21"/>
    <x v="1"/>
    <s v="female"/>
    <s v="female"/>
    <x v="0"/>
    <b v="1"/>
    <n v="28"/>
    <n v="4.9000000000000004"/>
    <n v="4.9000000000000004"/>
    <s v="white"/>
    <s v="white"/>
    <x v="0"/>
    <s v="solid"/>
    <s v="Solid"/>
    <s v="amber"/>
    <s v="amber"/>
    <x v="2"/>
    <b v="0"/>
    <x v="2"/>
    <s v="wet"/>
    <s v="wet"/>
    <s v="Wet"/>
    <n v="10"/>
    <n v="17"/>
    <x v="0"/>
    <s v="France"/>
    <n v="48.864716000000001"/>
    <n v="2.3490139999999999"/>
  </r>
  <r>
    <m/>
    <m/>
    <m/>
    <m/>
    <m/>
    <x v="4"/>
    <m/>
    <m/>
    <x v="3"/>
    <m/>
    <m/>
    <m/>
    <m/>
    <m/>
    <m/>
    <x v="4"/>
    <m/>
    <m/>
    <m/>
    <m/>
    <x v="4"/>
    <m/>
    <x v="3"/>
    <m/>
    <m/>
    <m/>
    <m/>
    <m/>
    <x v="2"/>
    <m/>
    <m/>
    <m/>
  </r>
  <r>
    <m/>
    <m/>
    <m/>
    <m/>
    <n v="19.107142857142858"/>
    <x v="4"/>
    <m/>
    <m/>
    <x v="3"/>
    <m/>
    <m/>
    <m/>
    <m/>
    <m/>
    <m/>
    <x v="4"/>
    <m/>
    <m/>
    <m/>
    <m/>
    <x v="4"/>
    <m/>
    <x v="3"/>
    <m/>
    <m/>
    <m/>
    <n v="1175"/>
    <m/>
    <x v="2"/>
    <m/>
    <m/>
    <m/>
  </r>
  <r>
    <m/>
    <m/>
    <m/>
    <m/>
    <m/>
    <x v="4"/>
    <m/>
    <m/>
    <x v="3"/>
    <m/>
    <m/>
    <m/>
    <m/>
    <m/>
    <m/>
    <x v="4"/>
    <m/>
    <m/>
    <m/>
    <m/>
    <x v="4"/>
    <m/>
    <x v="3"/>
    <m/>
    <m/>
    <m/>
    <m/>
    <m/>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423A80-F6BD-480E-A5C7-4F41E5B368BE}" name="PivotTable1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32">
    <pivotField showAll="0"/>
    <pivotField showAll="0"/>
    <pivotField showAll="0"/>
    <pivotField showAll="0"/>
    <pivotField showAll="0"/>
    <pivotField showAll="0">
      <items count="6">
        <item x="3"/>
        <item x="0"/>
        <item x="2"/>
        <item x="1"/>
        <item h="1" x="4"/>
        <item t="default"/>
      </items>
    </pivotField>
    <pivotField showAll="0"/>
    <pivotField showAll="0"/>
    <pivotField axis="axisRow" showAll="0">
      <items count="5">
        <item x="0"/>
        <item x="1"/>
        <item x="2"/>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Weight_Clea" fld="12" subtotal="average"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631291-779E-4BE8-860B-30ECAADF1468}" name="PivotTable1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32">
    <pivotField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Average of Owner_play_time_minutes" fld="26"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1279AC-EA55-44FA-B8EF-995C66D29914}" name="PivotTable1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F8" firstHeaderRow="1" firstDataRow="2" firstDataCol="1"/>
  <pivotFields count="32">
    <pivotField showAll="0"/>
    <pivotField showAll="0"/>
    <pivotField showAll="0"/>
    <pivotField showAll="0"/>
    <pivotField showAll="0"/>
    <pivotField showAll="0">
      <items count="6">
        <item x="3"/>
        <item x="0"/>
        <item x="2"/>
        <item x="1"/>
        <item h="1" x="4"/>
        <item t="default"/>
      </items>
    </pivotField>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20"/>
  </colFields>
  <colItems count="5">
    <i>
      <x/>
    </i>
    <i>
      <x v="1"/>
    </i>
    <i>
      <x v="2"/>
    </i>
    <i>
      <x v="3"/>
    </i>
    <i t="grand">
      <x/>
    </i>
  </colItems>
  <dataFields count="1">
    <dataField name="Count of Eye_Colour_Final" fld="20" subtotal="count" baseField="0" baseItem="0"/>
  </dataFields>
  <chartFormats count="15">
    <chartFormat chart="1" format="5" series="1">
      <pivotArea type="data" outline="0" fieldPosition="0">
        <references count="1">
          <reference field="20" count="1" selected="0">
            <x v="0"/>
          </reference>
        </references>
      </pivotArea>
    </chartFormat>
    <chartFormat chart="1" format="6" series="1">
      <pivotArea type="data" outline="0" fieldPosition="0">
        <references count="1">
          <reference field="20" count="1" selected="0">
            <x v="1"/>
          </reference>
        </references>
      </pivotArea>
    </chartFormat>
    <chartFormat chart="1" format="7" series="1">
      <pivotArea type="data" outline="0" fieldPosition="0">
        <references count="1">
          <reference field="20" count="1" selected="0">
            <x v="2"/>
          </reference>
        </references>
      </pivotArea>
    </chartFormat>
    <chartFormat chart="1" format="8" series="1">
      <pivotArea type="data" outline="0" fieldPosition="0">
        <references count="1">
          <reference field="20" count="1" selected="0">
            <x v="3"/>
          </reference>
        </references>
      </pivotArea>
    </chartFormat>
    <chartFormat chart="1" format="9" series="1">
      <pivotArea type="data" outline="0" fieldPosition="0">
        <references count="1">
          <reference field="20" count="1" selected="0">
            <x v="4"/>
          </reference>
        </references>
      </pivotArea>
    </chartFormat>
    <chartFormat chart="3" format="15" series="1">
      <pivotArea type="data" outline="0" fieldPosition="0">
        <references count="2">
          <reference field="4294967294" count="1" selected="0">
            <x v="0"/>
          </reference>
          <reference field="20" count="1" selected="0">
            <x v="0"/>
          </reference>
        </references>
      </pivotArea>
    </chartFormat>
    <chartFormat chart="3" format="16" series="1">
      <pivotArea type="data" outline="0" fieldPosition="0">
        <references count="2">
          <reference field="4294967294" count="1" selected="0">
            <x v="0"/>
          </reference>
          <reference field="20" count="1" selected="0">
            <x v="1"/>
          </reference>
        </references>
      </pivotArea>
    </chartFormat>
    <chartFormat chart="3" format="17" series="1">
      <pivotArea type="data" outline="0" fieldPosition="0">
        <references count="2">
          <reference field="4294967294" count="1" selected="0">
            <x v="0"/>
          </reference>
          <reference field="20" count="1" selected="0">
            <x v="2"/>
          </reference>
        </references>
      </pivotArea>
    </chartFormat>
    <chartFormat chart="3" format="18" series="1">
      <pivotArea type="data" outline="0" fieldPosition="0">
        <references count="2">
          <reference field="4294967294" count="1" selected="0">
            <x v="0"/>
          </reference>
          <reference field="20" count="1" selected="0">
            <x v="3"/>
          </reference>
        </references>
      </pivotArea>
    </chartFormat>
    <chartFormat chart="3" format="19" series="1">
      <pivotArea type="data" outline="0" fieldPosition="0">
        <references count="2">
          <reference field="4294967294" count="1" selected="0">
            <x v="0"/>
          </reference>
          <reference field="20" count="1" selected="0">
            <x v="4"/>
          </reference>
        </references>
      </pivotArea>
    </chartFormat>
    <chartFormat chart="1" format="10" series="1">
      <pivotArea type="data" outline="0" fieldPosition="0">
        <references count="2">
          <reference field="4294967294" count="1" selected="0">
            <x v="0"/>
          </reference>
          <reference field="20" count="1" selected="0">
            <x v="1"/>
          </reference>
        </references>
      </pivotArea>
    </chartFormat>
    <chartFormat chart="1" format="11" series="1">
      <pivotArea type="data" outline="0" fieldPosition="0">
        <references count="2">
          <reference field="4294967294" count="1" selected="0">
            <x v="0"/>
          </reference>
          <reference field="20" count="1" selected="0">
            <x v="2"/>
          </reference>
        </references>
      </pivotArea>
    </chartFormat>
    <chartFormat chart="1" format="12" series="1">
      <pivotArea type="data" outline="0" fieldPosition="0">
        <references count="2">
          <reference field="4294967294" count="1" selected="0">
            <x v="0"/>
          </reference>
          <reference field="20" count="1" selected="0">
            <x v="3"/>
          </reference>
        </references>
      </pivotArea>
    </chartFormat>
    <chartFormat chart="3" format="20" series="1">
      <pivotArea type="data" outline="0" fieldPosition="0">
        <references count="1">
          <reference field="4294967294" count="1" selected="0">
            <x v="0"/>
          </reference>
        </references>
      </pivotArea>
    </chartFormat>
    <chartFormat chart="1"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1B1117-91A9-4B80-9E96-A1F9CC97F65C}"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32">
    <pivotField showAll="0"/>
    <pivotField showAll="0"/>
    <pivotField showAll="0"/>
    <pivotField showAll="0"/>
    <pivotField showAll="0"/>
    <pivotField showAll="0">
      <items count="6">
        <item x="3"/>
        <item x="0"/>
        <item x="2"/>
        <item x="1"/>
        <item h="1" x="4"/>
        <item t="default"/>
      </items>
    </pivotField>
    <pivotField showAll="0"/>
    <pivotField showAll="0"/>
    <pivotField axis="axisRow" dataField="1"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Gender_Final" fld="8" subtotal="count" baseField="0" baseItem="0"/>
  </dataFields>
  <chartFormats count="9">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B5D41-CB9B-4D79-A08B-90E082D9BDE5}"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32">
    <pivotField showAll="0"/>
    <pivotField showAll="0"/>
    <pivotField showAll="0"/>
    <pivotField showAll="0"/>
    <pivotField showAll="0"/>
    <pivotField axis="axisRow" dataField="1" showAll="0">
      <items count="6">
        <item x="3"/>
        <item x="0"/>
        <item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Age_Group"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687FE9-EA24-4139-91D1-87B0445240E2}"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32">
    <pivotField showAll="0"/>
    <pivotField showAll="0"/>
    <pivotField showAll="0"/>
    <pivotField showAll="0"/>
    <pivotField showAll="0"/>
    <pivotField showAll="0">
      <items count="6">
        <item x="3"/>
        <item x="0"/>
        <item x="2"/>
        <item x="1"/>
        <item h="1" x="4"/>
        <item t="default"/>
      </items>
    </pivotField>
    <pivotField showAll="0"/>
    <pivotField showAll="0"/>
    <pivotField showAll="0"/>
    <pivotField showAll="0"/>
    <pivotField showAll="0"/>
    <pivotField showAll="0"/>
    <pivotField showAll="0"/>
    <pivotField showAll="0"/>
    <pivotField showAll="0"/>
    <pivotField axis="axisRow" dataField="1" showAll="0">
      <items count="6">
        <item x="3"/>
        <item x="2"/>
        <item x="1"/>
        <item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Count of Fur_colour_dominant_Final" fld="15"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B0E738-A1D1-420A-8C13-8BC9C98EF4FF}"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32">
    <pivotField showAll="0"/>
    <pivotField showAll="0"/>
    <pivotField showAll="0"/>
    <pivotField showAll="0"/>
    <pivotField showAll="0"/>
    <pivotField showAll="0">
      <items count="6">
        <item x="3"/>
        <item x="0"/>
        <item x="2"/>
        <item x="1"/>
        <item h="1" x="4"/>
        <item t="default"/>
      </items>
    </pivotField>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8"/>
  </rowFields>
  <rowItems count="4">
    <i>
      <x/>
    </i>
    <i>
      <x v="1"/>
    </i>
    <i>
      <x v="2"/>
    </i>
    <i t="grand">
      <x/>
    </i>
  </rowItems>
  <colItems count="1">
    <i/>
  </colItems>
  <dataFields count="1">
    <dataField name="Average of Sleep_time_hours" fld="27" subtotal="average" baseField="0" baseItem="130695410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E8B49A-4D00-43B5-BA33-CEB9350C9284}" name="PivotTable7"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32">
    <pivotField showAll="0"/>
    <pivotField showAll="0"/>
    <pivotField showAll="0"/>
    <pivotField showAll="0"/>
    <pivotField showAll="0"/>
    <pivotField showAll="0">
      <items count="6">
        <item x="3"/>
        <item x="0"/>
        <item x="2"/>
        <item x="1"/>
        <item h="1" x="4"/>
        <item t="default"/>
      </items>
    </pivotField>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Owner_play_time_minutes" fld="26" subtotal="average" baseField="8" baseItem="0"/>
  </dataFields>
  <chartFormats count="9">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3DCC5D-B610-4364-9ADB-6153C538A93F}"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32">
    <pivotField showAll="0"/>
    <pivotField showAll="0"/>
    <pivotField showAll="0"/>
    <pivotField showAll="0"/>
    <pivotField showAll="0"/>
    <pivotField showAll="0">
      <items count="6">
        <item x="3"/>
        <item x="0"/>
        <item x="2"/>
        <item x="1"/>
        <item h="1" x="4"/>
        <item t="default"/>
      </items>
    </pivotField>
    <pivotField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2"/>
        <item x="1"/>
        <item x="0"/>
        <item x="4"/>
        <item t="default"/>
      </items>
    </pivotField>
    <pivotField showAll="0"/>
    <pivotField showAll="0"/>
    <pivotField showAll="0"/>
    <pivotField showAll="0"/>
    <pivotField showAll="0"/>
    <pivotField showAll="0"/>
    <pivotField axis="axisRow" dataField="1" showAll="0">
      <items count="5">
        <item x="0"/>
        <item x="1"/>
        <item h="1" x="3"/>
        <item x="2"/>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s>
  <rowFields count="1">
    <field x="22"/>
  </rowFields>
  <rowItems count="4">
    <i>
      <x/>
    </i>
    <i>
      <x v="1"/>
    </i>
    <i>
      <x v="3"/>
    </i>
    <i t="grand">
      <x/>
    </i>
  </rowItems>
  <colItems count="1">
    <i/>
  </colItems>
  <dataFields count="1">
    <dataField name="Count of Allowed_outdoor_Clean" fld="22" subtotal="count" baseField="0" baseItem="0"/>
  </dataFields>
  <chartFormats count="6">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2" count="1" selected="0">
            <x v="0"/>
          </reference>
        </references>
      </pivotArea>
    </chartFormat>
    <chartFormat chart="3" format="7">
      <pivotArea type="data" outline="0" fieldPosition="0">
        <references count="2">
          <reference field="4294967294" count="1" selected="0">
            <x v="0"/>
          </reference>
          <reference field="22" count="1" selected="0">
            <x v="1"/>
          </reference>
        </references>
      </pivotArea>
    </chartFormat>
    <chartFormat chart="3" format="8">
      <pivotArea type="data" outline="0" fieldPosition="0">
        <references count="2">
          <reference field="4294967294" count="1" selected="0">
            <x v="0"/>
          </reference>
          <reference field="22" count="1" selected="0">
            <x v="2"/>
          </reference>
        </references>
      </pivotArea>
    </chartFormat>
    <chartFormat chart="3" format="9">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E8120E3-C2DB-4322-AF1E-098B37348605}" sourceName="Age_Group">
  <pivotTables>
    <pivotTable tabId="12" name="PivotTable6"/>
    <pivotTable tabId="9" name="PivotTable3"/>
    <pivotTable tabId="13" name="PivotTable7"/>
    <pivotTable tabId="11" name="PivotTable5"/>
    <pivotTable tabId="10" name="PivotTable4"/>
    <pivotTable tabId="7" name="PivotTable2"/>
    <pivotTable tabId="18" name="PivotTable12"/>
    <pivotTable tabId="23" name="PivotTable14"/>
    <pivotTable tabId="24" name="PivotTable15"/>
  </pivotTables>
  <data>
    <tabular pivotCacheId="423989355">
      <items count="5">
        <i x="3" s="1"/>
        <i x="0" s="1"/>
        <i x="2" s="1"/>
        <i x="1" s="1"/>
        <i x="4"/>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Final" xr10:uid="{6224B9EC-F34D-4295-B75A-8E2268E7D135}" sourceName="Gender_Final">
  <pivotTables>
    <pivotTable tabId="12" name="PivotTable6"/>
  </pivotTables>
  <data>
    <tabular pivotCacheId="423989355">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r_colour_dominant_Final" xr10:uid="{13C57A5E-B772-46A7-BED3-D10FDF24D53C}" sourceName="Fur_colour_dominant_Final">
  <pivotTables>
    <pivotTable tabId="12" name="PivotTable6"/>
  </pivotTables>
  <data>
    <tabular pivotCacheId="423989355">
      <items count="5">
        <i x="3" s="1"/>
        <i x="2" s="1"/>
        <i x="1" s="1"/>
        <i x="0" s="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lowed_outdoor_Clean" xr10:uid="{34BE5332-0F22-4403-B422-28A534945339}" sourceName="Allowed_outdoor_Clean">
  <pivotTables>
    <pivotTable tabId="12" name="PivotTable6"/>
  </pivotTables>
  <data>
    <tabular pivotCacheId="423989355">
      <items count="4">
        <i x="2" s="1"/>
        <i x="0" s="1"/>
        <i x="1" s="1"/>
        <i x="3"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7591EBF-ABD4-45F8-BF98-C43BAAD22250}" sourceName="Country">
  <pivotTables>
    <pivotTable tabId="12" name="PivotTable6"/>
  </pivotTables>
  <data>
    <tabular pivotCacheId="423989355">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_Final" xr10:uid="{4955D7AF-8406-4917-BDD0-F819024B1B51}" cache="Slicer_Gender_Final" caption="Gender_Fina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0DE10008-4573-4A69-BD8D-AA47D29E5757}" cache="Slicer_Age_Group" caption="Age_Group" startItem="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r_colour_dominant_Final" xr10:uid="{383FAF1B-4745-43D7-8E17-FAD6A3F3ABCE}" cache="Slicer_Fur_colour_dominant_Final" caption="Fur_colour_dominant_Final"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lowed_outdoor_Clean" xr10:uid="{DA361EC7-60C8-4017-8034-CDB0ED034AFE}" cache="Slicer_Allowed_outdoor_Clean" caption="Allowed_outdoor_Clea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804A3B2B-EB22-4BBD-806A-FE407E23B9D9}" cache="Slicer_Age_Group" caption="Age_Group" rowHeight="241300"/>
  <slicer name="Gender_Final 1" xr10:uid="{CF2435BA-8DD1-4886-9D3E-0BBFA5700943}" cache="Slicer_Gender_Final" caption="Gender_Final" rowHeight="241300"/>
  <slicer name="Fur_colour_dominant_Final 1" xr10:uid="{F83A0159-D447-44BD-80C2-822C4F7007A6}" cache="Slicer_Fur_colour_dominant_Final" caption="Fur_colour_dominant_Final" rowHeight="241300"/>
  <slicer name="Allowed_outdoor_Clean 1" xr10:uid="{681A8F9D-C006-4E6B-8CBB-1BF89C012D41}" cache="Slicer_Allowed_outdoor_Clean" caption="Allowed_outdoor_Clean" rowHeight="241300"/>
  <slicer name="Country 1" xr10:uid="{604E7739-2B95-4BDF-B3E4-549FB42CE974}"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8DAC17-D599-45FD-8D88-B4726CB03356}" name="Table1" displayName="Table1" ref="A1:AF1048576" totalsRowShown="0" headerRowDxfId="33" dataDxfId="32">
  <autoFilter ref="A1:AF1048576" xr:uid="{6414139E-8C5B-499A-8D39-8A4F7A69487B}"/>
  <tableColumns count="32">
    <tableColumn id="1" xr3:uid="{2C42994D-576F-4CE1-98B1-7DDFAE317D00}" name="Breed" dataDxfId="31"/>
    <tableColumn id="2" xr3:uid="{B8FEE4CA-5C2E-40F7-9659-965930D136DA}" name="Age_in_years" dataDxfId="30"/>
    <tableColumn id="3" xr3:uid="{A17E7A9A-94CC-4EBE-9A05-02999DA27057}" name="Age_in_months" dataDxfId="29"/>
    <tableColumn id="4" xr3:uid="{36B3198E-116D-4706-8B9C-E07789FE2527}" name="Age_Months_Clean" dataDxfId="28"/>
    <tableColumn id="5" xr3:uid="{2166CE25-3294-4D99-BBEB-5729AFAF31ED}" name="Age_Months_Final" dataDxfId="27" dataCellStyle="Good"/>
    <tableColumn id="6" xr3:uid="{2B2D40E8-8988-48B0-AAD3-FDF173ECFC55}" name="Age_Group" dataDxfId="26" dataCellStyle="Note"/>
    <tableColumn id="7" xr3:uid="{8036A30E-F47B-4F29-9187-02435CF96E06}" name="Gender" dataDxfId="25"/>
    <tableColumn id="8" xr3:uid="{669E8213-0A4C-4B5A-AA41-90AEBAC1933F}" name="Gender_Clean" dataDxfId="24" dataCellStyle="Good"/>
    <tableColumn id="9" xr3:uid="{6105400E-1387-410F-B9C7-6C9F13FDAB01}" name="Gender_Final" dataDxfId="23" dataCellStyle="60% - Accent6"/>
    <tableColumn id="10" xr3:uid="{E710572E-2B1B-4708-82A7-5107CA13CF1C}" name="Neutered_or_spayed" dataDxfId="22"/>
    <tableColumn id="11" xr3:uid="{57324826-E2CD-4F24-8738-03A058BC3233}" name="Body_length" dataDxfId="21"/>
    <tableColumn id="12" xr3:uid="{398F7A71-EFE2-48F4-A3DF-CE53BFDF8C8F}" name="Weight" dataDxfId="20"/>
    <tableColumn id="13" xr3:uid="{21380359-B604-494A-9FB5-0DD130CB9A5B}" name="Weight_Clea" dataDxfId="19" dataCellStyle="Good"/>
    <tableColumn id="14" xr3:uid="{A2223AE6-DA52-4E95-BD0F-52CB839A1B40}" name="Fur_colour_dominant" dataDxfId="18"/>
    <tableColumn id="15" xr3:uid="{267D433A-3124-464C-B2EB-5EA8EAA811B6}" name="Fur_colour_dominant_Clean" dataDxfId="17"/>
    <tableColumn id="16" xr3:uid="{7390C9A2-ABA2-4569-931E-99FA106974FB}" name="Fur_colour_dominant_Final" dataDxfId="16" dataCellStyle="Good"/>
    <tableColumn id="17" xr3:uid="{B5B98F51-9324-4EC8-913C-A22BA2AF47C8}" name="Fur_pattern" dataDxfId="15"/>
    <tableColumn id="18" xr3:uid="{9699BCA6-139E-4BCB-8755-A1BA2899D7C7}" name="Fur_Pattern_Final" dataDxfId="14" dataCellStyle="Good"/>
    <tableColumn id="19" xr3:uid="{39C0DA5E-1F55-4C5F-A69B-FB229DA4C424}" name="Eye_colour" dataDxfId="13"/>
    <tableColumn id="20" xr3:uid="{4697EEA7-DE4C-4FF7-8A61-66312561183C}" name="Eye_Colour_Clean" dataDxfId="12"/>
    <tableColumn id="21" xr3:uid="{C7DF7FBE-DA17-469A-99CE-AFE8C0C99CED}" name="Eye_Colour_Final" dataDxfId="11" dataCellStyle="Good"/>
    <tableColumn id="22" xr3:uid="{C1716338-865F-4E1D-8A3A-F2931927DD39}" name="Allowed_outdoor" dataDxfId="10"/>
    <tableColumn id="23" xr3:uid="{B49BB3E0-7023-4C92-A295-461672247A0A}" name="Allowed_outdoor_Clean" dataDxfId="9"/>
    <tableColumn id="24" xr3:uid="{080F684A-5154-4CFE-9355-5C30FD01D0E6}" name="Preferred_food" dataDxfId="8"/>
    <tableColumn id="25" xr3:uid="{2540C927-FF4A-415E-8780-679151FF5FC5}" name="Preferred_food_Clean " dataDxfId="7"/>
    <tableColumn id="26" xr3:uid="{7AA9EC7A-EECC-4A84-9BF3-0A8CC9D3E4BE}" name="Preferred_food_Final" dataDxfId="6" dataCellStyle="Good"/>
    <tableColumn id="27" xr3:uid="{823F18B7-A464-4A05-A3CE-D93281DA9080}" name="Owner_play_time_minutes" dataDxfId="5"/>
    <tableColumn id="28" xr3:uid="{65E323DD-78DF-46AB-AF87-B26EB327BAA2}" name="Sleep_time_hours" dataDxfId="4"/>
    <tableColumn id="29" xr3:uid="{0A7E5423-1CAD-414C-BF03-668788FA7854}" name="Country" dataDxfId="3"/>
    <tableColumn id="30" xr3:uid="{17124F9E-0276-411E-AD02-F6A800AEBDAB}" name="Country_Clean" dataDxfId="2" dataCellStyle="Good"/>
    <tableColumn id="31" xr3:uid="{A3F54C97-7E0C-4893-838A-6ED5A31BCD44}" name="Latitude" dataDxfId="1"/>
    <tableColumn id="32" xr3:uid="{FE7BB36F-9517-4755-9CF8-FFEA4749AA22}" name="Longitu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AEB98-D0B3-4F6A-B343-CEF1EAB69FB3}">
  <dimension ref="A1:Q40"/>
  <sheetViews>
    <sheetView topLeftCell="A3" workbookViewId="0">
      <selection activeCell="A40" sqref="A40"/>
    </sheetView>
  </sheetViews>
  <sheetFormatPr defaultRowHeight="15" x14ac:dyDescent="0.25"/>
  <cols>
    <col min="1" max="1" width="7.28515625" style="1" bestFit="1" customWidth="1"/>
    <col min="2" max="2" width="12.85546875" style="1" bestFit="1" customWidth="1"/>
    <col min="3" max="3" width="15" style="1" bestFit="1" customWidth="1"/>
    <col min="4" max="4" width="7.5703125" style="1" bestFit="1" customWidth="1"/>
    <col min="5" max="5" width="20" style="1" bestFit="1" customWidth="1"/>
    <col min="6" max="6" width="12.140625" style="1" bestFit="1" customWidth="1"/>
    <col min="7" max="7" width="7.42578125" style="1" bestFit="1" customWidth="1"/>
    <col min="8" max="8" width="27.85546875" style="1" bestFit="1" customWidth="1"/>
    <col min="9" max="9" width="11.42578125" style="1" bestFit="1" customWidth="1"/>
    <col min="10" max="10" width="10.7109375" style="1" bestFit="1" customWidth="1"/>
    <col min="11" max="11" width="31.42578125" style="1" bestFit="1" customWidth="1"/>
    <col min="12" max="12" width="14.85546875" style="1" bestFit="1" customWidth="1"/>
    <col min="13" max="13" width="25.7109375" style="1" bestFit="1" customWidth="1"/>
    <col min="14" max="14" width="17.42578125" style="1" bestFit="1" customWidth="1"/>
    <col min="15" max="15" width="12" style="1" bestFit="1" customWidth="1"/>
    <col min="16" max="16" width="10" style="1" bestFit="1" customWidth="1"/>
    <col min="17" max="17" width="9.85546875" style="1" bestFit="1" customWidth="1"/>
    <col min="18" max="16384" width="9.140625" style="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1" t="s">
        <v>17</v>
      </c>
      <c r="B2" s="1">
        <v>0.25</v>
      </c>
      <c r="C2" s="1">
        <v>3</v>
      </c>
      <c r="D2" s="1" t="s">
        <v>18</v>
      </c>
      <c r="E2" s="1" t="b">
        <v>0</v>
      </c>
      <c r="F2" s="1">
        <v>19</v>
      </c>
      <c r="G2" s="1">
        <v>2</v>
      </c>
      <c r="H2" s="1" t="s">
        <v>19</v>
      </c>
      <c r="I2" s="1" t="s">
        <v>20</v>
      </c>
      <c r="J2" s="1" t="s">
        <v>21</v>
      </c>
      <c r="K2" s="1" t="b">
        <v>0</v>
      </c>
      <c r="L2" s="1" t="s">
        <v>22</v>
      </c>
      <c r="M2" s="1">
        <v>46</v>
      </c>
      <c r="N2" s="1">
        <v>16</v>
      </c>
      <c r="O2" s="1" t="s">
        <v>23</v>
      </c>
      <c r="P2" s="1">
        <v>43.296481999999997</v>
      </c>
      <c r="Q2" s="1">
        <v>5.3697800000000004</v>
      </c>
    </row>
    <row r="3" spans="1:17" x14ac:dyDescent="0.25">
      <c r="A3" s="1" t="s">
        <v>17</v>
      </c>
      <c r="B3" s="1">
        <v>0.33</v>
      </c>
      <c r="C3" s="1">
        <v>4</v>
      </c>
      <c r="D3" s="1" t="s">
        <v>24</v>
      </c>
      <c r="E3" s="1" t="b">
        <v>0</v>
      </c>
      <c r="F3" s="1">
        <v>19</v>
      </c>
      <c r="G3" s="1">
        <v>2.5</v>
      </c>
      <c r="H3" s="1" t="s">
        <v>19</v>
      </c>
      <c r="I3" s="1" t="s">
        <v>20</v>
      </c>
      <c r="J3" s="1" t="s">
        <v>21</v>
      </c>
      <c r="K3" s="1" t="b">
        <v>0</v>
      </c>
      <c r="L3" s="1" t="s">
        <v>22</v>
      </c>
      <c r="M3" s="1">
        <v>48</v>
      </c>
      <c r="N3" s="1">
        <v>16</v>
      </c>
      <c r="O3" s="1" t="s">
        <v>23</v>
      </c>
      <c r="P3" s="1">
        <v>43.611660000000001</v>
      </c>
      <c r="Q3" s="1">
        <v>3.87771</v>
      </c>
    </row>
    <row r="4" spans="1:17" x14ac:dyDescent="0.25">
      <c r="A4" s="1" t="s">
        <v>17</v>
      </c>
      <c r="B4" s="1">
        <v>0.5</v>
      </c>
      <c r="E4" s="1" t="b">
        <v>0</v>
      </c>
      <c r="F4" s="1">
        <v>20</v>
      </c>
      <c r="G4" s="1">
        <v>2.8</v>
      </c>
      <c r="H4" s="1" t="s">
        <v>25</v>
      </c>
      <c r="I4" s="1" t="s">
        <v>20</v>
      </c>
      <c r="J4" s="1" t="s">
        <v>26</v>
      </c>
      <c r="K4" s="1" t="s">
        <v>27</v>
      </c>
      <c r="L4" s="1" t="s">
        <v>22</v>
      </c>
      <c r="M4" s="1">
        <v>41</v>
      </c>
      <c r="N4" s="1">
        <v>11</v>
      </c>
      <c r="O4" s="1" t="s">
        <v>23</v>
      </c>
      <c r="P4" s="1">
        <v>44.837789000000001</v>
      </c>
      <c r="Q4" s="1">
        <v>-0.57918000000000003</v>
      </c>
    </row>
    <row r="5" spans="1:17" x14ac:dyDescent="0.25">
      <c r="A5" s="1" t="s">
        <v>28</v>
      </c>
      <c r="B5" s="1">
        <v>0.5</v>
      </c>
      <c r="E5" s="1" t="b">
        <v>0</v>
      </c>
      <c r="F5" s="1">
        <v>21</v>
      </c>
      <c r="G5" s="1">
        <v>3</v>
      </c>
      <c r="H5" s="1" t="s">
        <v>19</v>
      </c>
      <c r="I5" s="1" t="s">
        <v>29</v>
      </c>
      <c r="J5" s="1" t="s">
        <v>21</v>
      </c>
      <c r="K5" s="1" t="b">
        <v>0</v>
      </c>
      <c r="L5" s="1" t="s">
        <v>22</v>
      </c>
      <c r="M5" s="1">
        <v>24</v>
      </c>
      <c r="N5" s="1">
        <v>8</v>
      </c>
      <c r="O5" s="1" t="s">
        <v>23</v>
      </c>
      <c r="P5" s="1">
        <v>43.611660000000001</v>
      </c>
      <c r="Q5" s="1">
        <v>3.87771</v>
      </c>
    </row>
    <row r="6" spans="1:17" x14ac:dyDescent="0.25">
      <c r="A6" s="1" t="s">
        <v>17</v>
      </c>
      <c r="B6" s="1">
        <v>0.5</v>
      </c>
      <c r="F6" s="1">
        <v>21</v>
      </c>
      <c r="G6" s="1">
        <v>3</v>
      </c>
      <c r="H6" s="1" t="s">
        <v>30</v>
      </c>
      <c r="I6" s="1" t="s">
        <v>31</v>
      </c>
      <c r="J6" s="1" t="s">
        <v>26</v>
      </c>
      <c r="K6" s="1" t="b">
        <v>0</v>
      </c>
      <c r="L6" s="1" t="s">
        <v>22</v>
      </c>
      <c r="M6" s="1">
        <v>51</v>
      </c>
      <c r="N6" s="1">
        <v>10</v>
      </c>
      <c r="O6" s="1" t="s">
        <v>32</v>
      </c>
      <c r="P6" s="1">
        <v>48.864716000000001</v>
      </c>
      <c r="Q6" s="1">
        <v>2.3490139999999999</v>
      </c>
    </row>
    <row r="7" spans="1:17" x14ac:dyDescent="0.25">
      <c r="B7" s="1">
        <v>0.5</v>
      </c>
      <c r="C7" s="1">
        <v>6</v>
      </c>
      <c r="D7" s="1" t="s">
        <v>18</v>
      </c>
      <c r="E7" s="1" t="b">
        <v>0</v>
      </c>
      <c r="F7" s="1">
        <v>21</v>
      </c>
      <c r="G7" s="1">
        <v>3</v>
      </c>
      <c r="H7" s="1" t="s">
        <v>19</v>
      </c>
      <c r="I7" s="1" t="s">
        <v>20</v>
      </c>
      <c r="J7" s="1" t="s">
        <v>33</v>
      </c>
      <c r="K7" s="1" t="b">
        <v>0</v>
      </c>
      <c r="L7" s="1" t="s">
        <v>34</v>
      </c>
      <c r="M7" s="1">
        <v>30</v>
      </c>
      <c r="N7" s="1">
        <v>28</v>
      </c>
      <c r="O7" s="1" t="s">
        <v>23</v>
      </c>
      <c r="P7" s="1">
        <v>43.611660000000001</v>
      </c>
      <c r="Q7" s="1">
        <v>3.87771</v>
      </c>
    </row>
    <row r="8" spans="1:17" x14ac:dyDescent="0.25">
      <c r="A8" s="1" t="s">
        <v>17</v>
      </c>
      <c r="B8" s="1">
        <v>0.57999999999999996</v>
      </c>
      <c r="F8" s="1">
        <v>22</v>
      </c>
      <c r="G8" s="1">
        <v>3</v>
      </c>
      <c r="H8" s="1" t="s">
        <v>19</v>
      </c>
      <c r="I8" s="1" t="s">
        <v>20</v>
      </c>
      <c r="J8" s="1" t="s">
        <v>33</v>
      </c>
      <c r="K8" s="1" t="b">
        <v>0</v>
      </c>
      <c r="L8" s="1" t="s">
        <v>22</v>
      </c>
      <c r="M8" s="1">
        <v>47</v>
      </c>
      <c r="N8" s="1">
        <v>9</v>
      </c>
      <c r="O8" s="1" t="s">
        <v>23</v>
      </c>
      <c r="P8" s="1">
        <v>47.218370999999998</v>
      </c>
      <c r="Q8" s="1">
        <v>-1.5536209999999999</v>
      </c>
    </row>
    <row r="9" spans="1:17" x14ac:dyDescent="0.25">
      <c r="A9" s="1" t="s">
        <v>17</v>
      </c>
      <c r="C9" s="1">
        <v>7</v>
      </c>
      <c r="F9" s="1">
        <v>23</v>
      </c>
      <c r="G9" s="1">
        <v>3</v>
      </c>
      <c r="H9" s="1" t="s">
        <v>30</v>
      </c>
      <c r="J9" s="1" t="s">
        <v>35</v>
      </c>
      <c r="K9" s="1" t="b">
        <v>0</v>
      </c>
      <c r="L9" s="1" t="s">
        <v>22</v>
      </c>
      <c r="M9" s="1">
        <v>55</v>
      </c>
      <c r="N9" s="1">
        <v>11</v>
      </c>
      <c r="O9" s="1" t="s">
        <v>23</v>
      </c>
      <c r="P9" s="1">
        <v>47.218370999999998</v>
      </c>
      <c r="Q9" s="1">
        <v>-1.5536209999999999</v>
      </c>
    </row>
    <row r="10" spans="1:17" x14ac:dyDescent="0.25">
      <c r="A10" s="1" t="s">
        <v>17</v>
      </c>
      <c r="C10" s="1">
        <v>7</v>
      </c>
      <c r="D10" s="1" t="s">
        <v>18</v>
      </c>
      <c r="F10" s="1">
        <v>25</v>
      </c>
      <c r="G10" s="1">
        <v>3</v>
      </c>
      <c r="H10" s="1" t="s">
        <v>36</v>
      </c>
      <c r="J10" s="1" t="s">
        <v>21</v>
      </c>
      <c r="K10" s="1" t="b">
        <v>0</v>
      </c>
      <c r="L10" s="1" t="s">
        <v>22</v>
      </c>
      <c r="M10" s="1">
        <v>20</v>
      </c>
      <c r="N10" s="1">
        <v>12</v>
      </c>
      <c r="O10" s="1" t="s">
        <v>23</v>
      </c>
      <c r="P10" s="1">
        <v>43.296481999999997</v>
      </c>
      <c r="Q10" s="1">
        <v>5.3697800000000004</v>
      </c>
    </row>
    <row r="11" spans="1:17" x14ac:dyDescent="0.25">
      <c r="A11" s="1" t="s">
        <v>17</v>
      </c>
      <c r="C11" s="1">
        <v>8</v>
      </c>
      <c r="D11" s="1" t="s">
        <v>18</v>
      </c>
      <c r="F11" s="1">
        <v>25</v>
      </c>
      <c r="G11" s="1">
        <v>320</v>
      </c>
      <c r="H11" s="1" t="s">
        <v>19</v>
      </c>
      <c r="J11" s="1" t="s">
        <v>21</v>
      </c>
      <c r="K11" s="1" t="b">
        <v>0</v>
      </c>
      <c r="L11" s="1" t="s">
        <v>22</v>
      </c>
      <c r="M11" s="1">
        <v>33</v>
      </c>
      <c r="N11" s="1">
        <v>17</v>
      </c>
      <c r="O11" s="1" t="s">
        <v>23</v>
      </c>
      <c r="P11" s="1">
        <v>44.837789000000001</v>
      </c>
      <c r="Q11" s="1">
        <v>-0.57918000000000003</v>
      </c>
    </row>
    <row r="12" spans="1:17" x14ac:dyDescent="0.25">
      <c r="B12" s="1">
        <v>0.67</v>
      </c>
      <c r="C12" s="1">
        <v>8</v>
      </c>
      <c r="D12" s="1" t="s">
        <v>18</v>
      </c>
      <c r="E12" s="1" t="b">
        <v>0</v>
      </c>
      <c r="F12" s="1">
        <v>26</v>
      </c>
      <c r="G12" s="1">
        <v>3</v>
      </c>
      <c r="H12" s="1" t="s">
        <v>36</v>
      </c>
      <c r="I12" s="1" t="s">
        <v>20</v>
      </c>
      <c r="J12" s="1" t="s">
        <v>26</v>
      </c>
      <c r="K12" s="1" t="b">
        <v>0</v>
      </c>
      <c r="L12" s="1" t="s">
        <v>22</v>
      </c>
      <c r="M12" s="1">
        <v>39</v>
      </c>
      <c r="N12" s="1">
        <v>18</v>
      </c>
      <c r="O12" s="1" t="s">
        <v>23</v>
      </c>
      <c r="P12" s="1">
        <v>43.296481999999997</v>
      </c>
      <c r="Q12" s="1">
        <v>5.3697800000000004</v>
      </c>
    </row>
    <row r="13" spans="1:17" x14ac:dyDescent="0.25">
      <c r="A13" s="1" t="s">
        <v>17</v>
      </c>
      <c r="B13" s="1">
        <v>0.67</v>
      </c>
      <c r="C13" s="1">
        <v>8</v>
      </c>
      <c r="D13" s="1" t="s">
        <v>24</v>
      </c>
      <c r="F13" s="1">
        <v>26</v>
      </c>
      <c r="G13" s="1">
        <v>3.3</v>
      </c>
      <c r="H13" s="1" t="s">
        <v>19</v>
      </c>
      <c r="J13" s="1" t="s">
        <v>33</v>
      </c>
      <c r="K13" s="1" t="b">
        <v>0</v>
      </c>
      <c r="L13" s="1" t="s">
        <v>22</v>
      </c>
      <c r="O13" s="1" t="s">
        <v>23</v>
      </c>
      <c r="P13" s="1">
        <v>43.611660000000001</v>
      </c>
      <c r="Q13" s="1">
        <v>3.87771</v>
      </c>
    </row>
    <row r="14" spans="1:17" x14ac:dyDescent="0.25">
      <c r="A14" s="1" t="s">
        <v>17</v>
      </c>
      <c r="B14" s="1">
        <v>0.75</v>
      </c>
      <c r="C14" s="1">
        <v>9</v>
      </c>
      <c r="D14" s="1" t="s">
        <v>24</v>
      </c>
      <c r="F14" s="1">
        <v>27</v>
      </c>
      <c r="G14" s="1">
        <v>3.3</v>
      </c>
      <c r="H14" s="1" t="s">
        <v>19</v>
      </c>
      <c r="J14" s="1" t="s">
        <v>33</v>
      </c>
      <c r="K14" s="1" t="b">
        <v>0</v>
      </c>
      <c r="L14" s="1" t="s">
        <v>22</v>
      </c>
      <c r="O14" s="1" t="s">
        <v>23</v>
      </c>
      <c r="P14" s="1">
        <v>48.864716000000001</v>
      </c>
      <c r="Q14" s="1">
        <v>2.3490139999999999</v>
      </c>
    </row>
    <row r="15" spans="1:17" x14ac:dyDescent="0.25">
      <c r="A15" s="1" t="s">
        <v>17</v>
      </c>
      <c r="B15" s="1">
        <v>-1.0833333329999999</v>
      </c>
      <c r="C15" s="1">
        <v>-13</v>
      </c>
      <c r="D15" s="1" t="s">
        <v>24</v>
      </c>
      <c r="F15" s="1">
        <v>28</v>
      </c>
      <c r="G15" s="1">
        <v>3.2</v>
      </c>
      <c r="H15" s="1" t="s">
        <v>19</v>
      </c>
      <c r="I15" s="1" t="s">
        <v>20</v>
      </c>
      <c r="J15" s="1" t="s">
        <v>21</v>
      </c>
      <c r="K15" s="1" t="b">
        <v>0</v>
      </c>
      <c r="L15" s="1" t="s">
        <v>22</v>
      </c>
      <c r="M15" s="1">
        <v>35</v>
      </c>
      <c r="N15" s="1">
        <v>14</v>
      </c>
      <c r="O15" s="1" t="s">
        <v>23</v>
      </c>
      <c r="P15" s="1">
        <v>45.763420000000004</v>
      </c>
      <c r="Q15" s="1">
        <v>4.8342770000000002</v>
      </c>
    </row>
    <row r="16" spans="1:17" x14ac:dyDescent="0.25">
      <c r="A16" s="1" t="s">
        <v>17</v>
      </c>
      <c r="B16" s="1">
        <v>-1.3333333329999999</v>
      </c>
      <c r="C16" s="1">
        <v>-16</v>
      </c>
      <c r="D16" s="1" t="s">
        <v>24</v>
      </c>
      <c r="F16" s="1">
        <v>30</v>
      </c>
      <c r="G16" s="1">
        <v>3.5</v>
      </c>
      <c r="H16" s="1" t="s">
        <v>30</v>
      </c>
      <c r="I16" s="1" t="s">
        <v>31</v>
      </c>
      <c r="J16" s="1" t="s">
        <v>21</v>
      </c>
      <c r="K16" s="1" t="b">
        <v>0</v>
      </c>
      <c r="L16" s="1" t="s">
        <v>37</v>
      </c>
      <c r="M16" s="1">
        <v>38</v>
      </c>
      <c r="N16" s="1">
        <v>20</v>
      </c>
      <c r="O16" s="1" t="s">
        <v>23</v>
      </c>
      <c r="P16" s="1">
        <v>48.864716000000001</v>
      </c>
      <c r="Q16" s="1">
        <v>2.3490139999999999</v>
      </c>
    </row>
    <row r="17" spans="1:17" x14ac:dyDescent="0.25">
      <c r="B17" s="1">
        <v>0.83</v>
      </c>
      <c r="C17" s="1">
        <v>10</v>
      </c>
      <c r="D17" s="1" t="s">
        <v>24</v>
      </c>
      <c r="E17" s="1" t="b">
        <v>0</v>
      </c>
      <c r="F17" s="1">
        <v>31</v>
      </c>
      <c r="G17" s="1">
        <v>3.4</v>
      </c>
      <c r="H17" s="1" t="s">
        <v>19</v>
      </c>
      <c r="I17" s="1" t="s">
        <v>20</v>
      </c>
      <c r="J17" s="1" t="s">
        <v>26</v>
      </c>
      <c r="K17" s="1" t="b">
        <v>0</v>
      </c>
      <c r="L17" s="1" t="s">
        <v>37</v>
      </c>
      <c r="M17" s="1">
        <v>56</v>
      </c>
      <c r="N17" s="1">
        <v>17</v>
      </c>
      <c r="O17" s="1" t="s">
        <v>23</v>
      </c>
      <c r="P17" s="1">
        <v>48.864716000000001</v>
      </c>
      <c r="Q17" s="1">
        <v>2.3490139999999999</v>
      </c>
    </row>
    <row r="18" spans="1:17" x14ac:dyDescent="0.25">
      <c r="J18" s="1" t="s">
        <v>26</v>
      </c>
      <c r="K18" s="1" t="b">
        <v>0</v>
      </c>
      <c r="L18" s="1" t="s">
        <v>22</v>
      </c>
      <c r="M18" s="1">
        <v>48</v>
      </c>
      <c r="N18" s="1">
        <v>14</v>
      </c>
      <c r="P18" s="1">
        <v>47.218370999999998</v>
      </c>
      <c r="Q18" s="1">
        <v>-1.5536209999999999</v>
      </c>
    </row>
    <row r="19" spans="1:17" x14ac:dyDescent="0.25">
      <c r="B19" s="1">
        <v>0.92</v>
      </c>
      <c r="C19" s="1">
        <v>11</v>
      </c>
      <c r="D19" s="1" t="s">
        <v>18</v>
      </c>
      <c r="E19" s="1" t="b">
        <v>1</v>
      </c>
      <c r="F19" s="1">
        <v>31</v>
      </c>
      <c r="G19" s="1">
        <v>3.9</v>
      </c>
      <c r="H19" s="1" t="s">
        <v>19</v>
      </c>
      <c r="I19" s="1" t="s">
        <v>20</v>
      </c>
      <c r="L19" s="1" t="s">
        <v>22</v>
      </c>
      <c r="M19" s="1">
        <v>55</v>
      </c>
      <c r="N19" s="1">
        <v>32</v>
      </c>
      <c r="P19" s="1">
        <v>44.837789000000001</v>
      </c>
      <c r="Q19" s="1">
        <v>-0.57918000000000003</v>
      </c>
    </row>
    <row r="20" spans="1:17" x14ac:dyDescent="0.25">
      <c r="A20" s="1" t="s">
        <v>17</v>
      </c>
      <c r="B20" s="1">
        <v>-1</v>
      </c>
      <c r="C20" s="1">
        <v>-12</v>
      </c>
      <c r="D20" s="1" t="s">
        <v>24</v>
      </c>
      <c r="F20" s="1">
        <v>31</v>
      </c>
      <c r="G20" s="1">
        <v>3.5</v>
      </c>
      <c r="H20" s="1" t="s">
        <v>19</v>
      </c>
      <c r="I20" s="1" t="s">
        <v>20</v>
      </c>
      <c r="J20" s="1" t="s">
        <v>21</v>
      </c>
      <c r="K20" s="1" t="b">
        <v>1</v>
      </c>
      <c r="L20" s="1" t="s">
        <v>22</v>
      </c>
      <c r="M20" s="1">
        <v>42</v>
      </c>
      <c r="N20" s="1">
        <v>14</v>
      </c>
      <c r="P20" s="1">
        <v>43.296481999999997</v>
      </c>
      <c r="Q20" s="1">
        <v>5.3697800000000004</v>
      </c>
    </row>
    <row r="21" spans="1:17" x14ac:dyDescent="0.25">
      <c r="A21" s="1" t="s">
        <v>17</v>
      </c>
      <c r="B21" s="1">
        <v>1</v>
      </c>
      <c r="C21" s="1">
        <v>12</v>
      </c>
      <c r="D21" s="1" t="s">
        <v>24</v>
      </c>
      <c r="F21" s="1">
        <v>35</v>
      </c>
      <c r="G21" s="1">
        <v>3.9</v>
      </c>
      <c r="H21" s="1" t="s">
        <v>19</v>
      </c>
      <c r="I21" s="1" t="s">
        <v>20</v>
      </c>
      <c r="J21" s="1" t="s">
        <v>33</v>
      </c>
      <c r="K21" s="1" t="b">
        <v>0</v>
      </c>
      <c r="L21" s="1" t="s">
        <v>22</v>
      </c>
      <c r="M21" s="1">
        <v>41</v>
      </c>
      <c r="N21" s="1">
        <v>17</v>
      </c>
      <c r="P21" s="1">
        <v>45.763420000000004</v>
      </c>
      <c r="Q21" s="1">
        <v>4.8342770000000002</v>
      </c>
    </row>
    <row r="22" spans="1:17" x14ac:dyDescent="0.25">
      <c r="A22" s="1" t="s">
        <v>17</v>
      </c>
      <c r="B22" s="1">
        <v>4.33</v>
      </c>
      <c r="D22" s="1" t="s">
        <v>24</v>
      </c>
      <c r="F22" s="1">
        <v>25</v>
      </c>
      <c r="G22" s="1">
        <v>4</v>
      </c>
      <c r="H22" s="1" t="s">
        <v>19</v>
      </c>
      <c r="I22" s="1" t="s">
        <v>20</v>
      </c>
      <c r="J22" s="1" t="s">
        <v>21</v>
      </c>
      <c r="K22" s="1" t="b">
        <v>0</v>
      </c>
      <c r="L22" s="1" t="s">
        <v>37</v>
      </c>
      <c r="M22" s="1">
        <v>36</v>
      </c>
      <c r="N22" s="1">
        <v>14</v>
      </c>
      <c r="O22" s="1" t="s">
        <v>23</v>
      </c>
      <c r="P22" s="1">
        <v>44.837789000000001</v>
      </c>
      <c r="Q22" s="1">
        <v>-0.57918000000000003</v>
      </c>
    </row>
    <row r="23" spans="1:17" x14ac:dyDescent="0.25">
      <c r="A23" s="1" t="s">
        <v>38</v>
      </c>
      <c r="B23" s="1">
        <v>1.17</v>
      </c>
      <c r="D23" s="1" t="s">
        <v>18</v>
      </c>
      <c r="F23" s="1">
        <v>34</v>
      </c>
      <c r="G23" s="1">
        <v>3.8</v>
      </c>
      <c r="H23" s="1" t="s">
        <v>19</v>
      </c>
      <c r="I23" s="1" t="s">
        <v>20</v>
      </c>
      <c r="J23" s="1" t="s">
        <v>21</v>
      </c>
      <c r="K23" s="1" t="b">
        <v>1</v>
      </c>
      <c r="L23" s="1" t="s">
        <v>22</v>
      </c>
      <c r="M23" s="1">
        <v>23</v>
      </c>
      <c r="N23" s="1">
        <v>17</v>
      </c>
      <c r="O23" s="1" t="s">
        <v>23</v>
      </c>
      <c r="P23" s="1">
        <v>48.864716000000001</v>
      </c>
      <c r="Q23" s="1">
        <v>2.3490139999999999</v>
      </c>
    </row>
    <row r="24" spans="1:17" x14ac:dyDescent="0.25">
      <c r="A24" s="1" t="s">
        <v>28</v>
      </c>
      <c r="B24" s="1">
        <v>3</v>
      </c>
      <c r="D24" s="1" t="s">
        <v>24</v>
      </c>
      <c r="E24" s="1" t="b">
        <v>1</v>
      </c>
      <c r="F24" s="1">
        <v>38</v>
      </c>
      <c r="G24" s="1">
        <v>5</v>
      </c>
      <c r="H24" s="1" t="s">
        <v>19</v>
      </c>
      <c r="I24" s="1" t="s">
        <v>20</v>
      </c>
      <c r="J24" s="1" t="s">
        <v>33</v>
      </c>
      <c r="K24" s="1" t="b">
        <v>0</v>
      </c>
      <c r="L24" s="1" t="s">
        <v>22</v>
      </c>
      <c r="M24" s="1">
        <v>16</v>
      </c>
      <c r="N24" s="1">
        <v>14</v>
      </c>
      <c r="O24" s="1" t="s">
        <v>23</v>
      </c>
      <c r="P24" s="1">
        <v>43.296481999999997</v>
      </c>
      <c r="Q24" s="1">
        <v>5.3697800000000004</v>
      </c>
    </row>
    <row r="25" spans="1:17" x14ac:dyDescent="0.25">
      <c r="A25" s="1" t="s">
        <v>28</v>
      </c>
      <c r="B25" s="1">
        <v>1.17</v>
      </c>
      <c r="D25" s="1" t="s">
        <v>18</v>
      </c>
      <c r="E25" s="1" t="b">
        <v>1</v>
      </c>
      <c r="F25" s="1">
        <v>25</v>
      </c>
      <c r="G25" s="1">
        <v>3</v>
      </c>
      <c r="H25" s="1" t="s">
        <v>19</v>
      </c>
      <c r="I25" s="1" t="s">
        <v>20</v>
      </c>
      <c r="J25" s="1" t="s">
        <v>33</v>
      </c>
      <c r="K25" s="1" t="b">
        <v>0</v>
      </c>
      <c r="L25" s="1" t="s">
        <v>22</v>
      </c>
      <c r="M25" s="1">
        <v>19</v>
      </c>
      <c r="N25" s="1">
        <v>17</v>
      </c>
      <c r="O25" s="1" t="s">
        <v>23</v>
      </c>
      <c r="P25" s="1">
        <v>45.763420000000004</v>
      </c>
      <c r="Q25" s="1">
        <v>4.8342770000000002</v>
      </c>
    </row>
    <row r="26" spans="1:17" x14ac:dyDescent="0.25">
      <c r="A26" s="1" t="s">
        <v>17</v>
      </c>
      <c r="B26" s="1">
        <v>4</v>
      </c>
      <c r="D26" s="1" t="s">
        <v>24</v>
      </c>
      <c r="E26" s="1" t="b">
        <v>1</v>
      </c>
      <c r="F26" s="1">
        <v>39</v>
      </c>
      <c r="G26" s="1">
        <v>4.5999999999999996</v>
      </c>
      <c r="H26" s="1" t="s">
        <v>19</v>
      </c>
      <c r="I26" s="1" t="s">
        <v>29</v>
      </c>
      <c r="J26" s="1" t="s">
        <v>35</v>
      </c>
      <c r="K26" s="1" t="b">
        <v>0</v>
      </c>
      <c r="L26" s="1" t="s">
        <v>22</v>
      </c>
      <c r="M26" s="1">
        <v>33</v>
      </c>
      <c r="N26" s="1">
        <v>14</v>
      </c>
      <c r="O26" s="1" t="s">
        <v>39</v>
      </c>
      <c r="P26" s="1">
        <v>45.763420000000004</v>
      </c>
      <c r="Q26" s="1">
        <v>4.8342770000000002</v>
      </c>
    </row>
    <row r="27" spans="1:17" x14ac:dyDescent="0.25">
      <c r="A27" s="1" t="s">
        <v>17</v>
      </c>
      <c r="B27" s="1">
        <v>5.83</v>
      </c>
      <c r="D27" s="1" t="s">
        <v>24</v>
      </c>
      <c r="E27" s="1" t="b">
        <v>1</v>
      </c>
      <c r="F27" s="1">
        <v>37</v>
      </c>
      <c r="G27" s="1">
        <v>4.5999999999999996</v>
      </c>
      <c r="H27" s="1" t="s">
        <v>36</v>
      </c>
      <c r="I27" s="1" t="s">
        <v>20</v>
      </c>
      <c r="J27" s="1" t="s">
        <v>26</v>
      </c>
      <c r="K27" s="1" t="b">
        <v>1</v>
      </c>
      <c r="L27" s="1" t="s">
        <v>37</v>
      </c>
      <c r="M27" s="1">
        <v>9</v>
      </c>
      <c r="N27" s="1">
        <v>16</v>
      </c>
      <c r="O27" s="1" t="s">
        <v>23</v>
      </c>
      <c r="P27" s="1">
        <v>48.864716000000001</v>
      </c>
      <c r="Q27" s="1">
        <v>2.3490139999999999</v>
      </c>
    </row>
    <row r="28" spans="1:17" x14ac:dyDescent="0.25">
      <c r="A28" s="1" t="s">
        <v>17</v>
      </c>
      <c r="B28" s="1">
        <v>1.25</v>
      </c>
      <c r="C28" s="1">
        <v>15</v>
      </c>
      <c r="D28" s="1" t="s">
        <v>18</v>
      </c>
      <c r="E28" s="1" t="b">
        <v>1</v>
      </c>
      <c r="F28" s="1">
        <v>26</v>
      </c>
      <c r="G28" s="1">
        <v>3.4</v>
      </c>
      <c r="H28" s="1" t="s">
        <v>19</v>
      </c>
      <c r="I28" s="1" t="s">
        <v>20</v>
      </c>
      <c r="J28" s="1" t="s">
        <v>21</v>
      </c>
      <c r="K28" s="1" t="b">
        <v>0</v>
      </c>
      <c r="L28" s="1" t="s">
        <v>22</v>
      </c>
      <c r="M28" s="1">
        <v>25</v>
      </c>
      <c r="N28" s="1">
        <v>15</v>
      </c>
      <c r="O28" s="1" t="s">
        <v>23</v>
      </c>
      <c r="P28" s="1">
        <v>43.296481999999997</v>
      </c>
      <c r="Q28" s="1">
        <v>5.3697800000000004</v>
      </c>
    </row>
    <row r="29" spans="1:17" x14ac:dyDescent="0.25">
      <c r="A29" s="1" t="s">
        <v>17</v>
      </c>
      <c r="B29" s="1">
        <v>5.33</v>
      </c>
      <c r="C29" s="1">
        <v>64</v>
      </c>
      <c r="D29" s="1" t="s">
        <v>24</v>
      </c>
      <c r="E29" s="1" t="b">
        <v>1</v>
      </c>
      <c r="F29" s="1">
        <v>44</v>
      </c>
      <c r="G29" s="1">
        <v>4.5999999999999996</v>
      </c>
      <c r="H29" s="1" t="s">
        <v>19</v>
      </c>
      <c r="I29" s="1" t="s">
        <v>20</v>
      </c>
      <c r="J29" s="1" t="s">
        <v>21</v>
      </c>
      <c r="K29" s="1" t="b">
        <v>1</v>
      </c>
      <c r="L29" s="1" t="s">
        <v>22</v>
      </c>
      <c r="M29" s="1">
        <v>20</v>
      </c>
      <c r="N29" s="1">
        <v>16</v>
      </c>
      <c r="O29" s="1" t="s">
        <v>23</v>
      </c>
      <c r="P29" s="1">
        <v>44.837789000000001</v>
      </c>
      <c r="Q29" s="1">
        <v>-0.57918000000000003</v>
      </c>
    </row>
    <row r="30" spans="1:17" x14ac:dyDescent="0.25">
      <c r="A30" s="1" t="s">
        <v>17</v>
      </c>
      <c r="C30" s="1">
        <v>15</v>
      </c>
      <c r="D30" s="1" t="s">
        <v>24</v>
      </c>
      <c r="E30" s="1" t="b">
        <v>1</v>
      </c>
      <c r="F30" s="1">
        <v>40</v>
      </c>
      <c r="G30" s="1">
        <v>3.8</v>
      </c>
      <c r="H30" s="1" t="s">
        <v>30</v>
      </c>
      <c r="I30" s="1" t="s">
        <v>31</v>
      </c>
      <c r="J30" s="1" t="s">
        <v>21</v>
      </c>
      <c r="K30" s="1" t="b">
        <v>0</v>
      </c>
      <c r="L30" s="1" t="s">
        <v>22</v>
      </c>
      <c r="M30" s="1">
        <v>35</v>
      </c>
      <c r="N30" s="1">
        <v>17</v>
      </c>
      <c r="O30" s="1" t="s">
        <v>23</v>
      </c>
      <c r="P30" s="1">
        <v>45.763420000000004</v>
      </c>
      <c r="Q30" s="1">
        <v>4.8342770000000002</v>
      </c>
    </row>
    <row r="31" spans="1:17" x14ac:dyDescent="0.25">
      <c r="A31" s="1" t="s">
        <v>17</v>
      </c>
      <c r="C31" s="1">
        <v>59</v>
      </c>
      <c r="D31" s="1" t="s">
        <v>24</v>
      </c>
      <c r="E31" s="1" t="b">
        <v>0</v>
      </c>
      <c r="F31" s="1">
        <v>41</v>
      </c>
      <c r="G31" s="1">
        <v>5</v>
      </c>
      <c r="H31" s="1" t="s">
        <v>36</v>
      </c>
      <c r="I31" s="1" t="s">
        <v>20</v>
      </c>
      <c r="J31" s="1" t="s">
        <v>26</v>
      </c>
      <c r="K31" s="1" t="b">
        <v>0</v>
      </c>
      <c r="L31" s="1" t="s">
        <v>37</v>
      </c>
      <c r="M31" s="1">
        <v>31</v>
      </c>
      <c r="N31" s="1">
        <v>14</v>
      </c>
      <c r="O31" s="1" t="s">
        <v>23</v>
      </c>
      <c r="P31" s="1">
        <v>47.218370999999998</v>
      </c>
      <c r="Q31" s="1">
        <v>-1.5536209999999999</v>
      </c>
    </row>
    <row r="32" spans="1:17" x14ac:dyDescent="0.25">
      <c r="A32" s="1" t="s">
        <v>17</v>
      </c>
      <c r="C32" s="1">
        <v>18</v>
      </c>
      <c r="D32" s="1" t="s">
        <v>24</v>
      </c>
      <c r="E32" s="1" t="b">
        <v>0</v>
      </c>
      <c r="F32" s="1">
        <v>40</v>
      </c>
      <c r="G32" s="1">
        <v>3.6</v>
      </c>
      <c r="H32" s="1" t="s">
        <v>19</v>
      </c>
      <c r="I32" s="1" t="s">
        <v>20</v>
      </c>
      <c r="K32" s="1" t="b">
        <v>0</v>
      </c>
      <c r="L32" s="1" t="s">
        <v>22</v>
      </c>
      <c r="M32" s="1">
        <v>27</v>
      </c>
      <c r="N32" s="1">
        <v>14</v>
      </c>
      <c r="O32" s="1" t="s">
        <v>23</v>
      </c>
      <c r="P32" s="1">
        <v>43.296481999999997</v>
      </c>
      <c r="Q32" s="1">
        <v>5.3697800000000004</v>
      </c>
    </row>
    <row r="33" spans="1:17" x14ac:dyDescent="0.25">
      <c r="A33" s="1" t="s">
        <v>17</v>
      </c>
      <c r="B33" s="1">
        <v>1.58</v>
      </c>
      <c r="C33" s="1">
        <v>19</v>
      </c>
      <c r="D33" s="1" t="s">
        <v>18</v>
      </c>
      <c r="E33" s="1" t="b">
        <v>1</v>
      </c>
      <c r="F33" s="1">
        <v>33</v>
      </c>
      <c r="G33" s="1">
        <v>3.5</v>
      </c>
      <c r="H33" s="1" t="s">
        <v>19</v>
      </c>
      <c r="I33" s="1" t="s">
        <v>20</v>
      </c>
      <c r="K33" s="1" t="b">
        <v>0</v>
      </c>
      <c r="L33" s="1" t="s">
        <v>37</v>
      </c>
      <c r="M33" s="1">
        <v>18</v>
      </c>
      <c r="N33" s="1">
        <v>18</v>
      </c>
      <c r="O33" s="1" t="s">
        <v>23</v>
      </c>
      <c r="P33" s="1">
        <v>48.864716000000001</v>
      </c>
      <c r="Q33" s="1">
        <v>2.3490139999999999</v>
      </c>
    </row>
    <row r="34" spans="1:17" x14ac:dyDescent="0.25">
      <c r="A34" s="1" t="s">
        <v>17</v>
      </c>
      <c r="B34" s="1">
        <v>1.58</v>
      </c>
      <c r="C34" s="1">
        <v>19</v>
      </c>
      <c r="D34" s="1" t="s">
        <v>18</v>
      </c>
      <c r="E34" s="1" t="b">
        <v>1</v>
      </c>
      <c r="F34" s="1">
        <v>33</v>
      </c>
      <c r="G34" s="1">
        <v>3.2</v>
      </c>
      <c r="H34" s="1" t="s">
        <v>19</v>
      </c>
      <c r="I34" s="1" t="s">
        <v>20</v>
      </c>
      <c r="K34" s="1" t="b">
        <v>1</v>
      </c>
      <c r="L34" s="1" t="s">
        <v>22</v>
      </c>
      <c r="M34" s="1">
        <v>12</v>
      </c>
      <c r="N34" s="1">
        <v>19</v>
      </c>
      <c r="O34" s="1" t="s">
        <v>32</v>
      </c>
      <c r="P34" s="1">
        <v>48.864716000000001</v>
      </c>
      <c r="Q34" s="1">
        <v>2.3490139999999999</v>
      </c>
    </row>
    <row r="35" spans="1:17" x14ac:dyDescent="0.25">
      <c r="A35" s="1" t="s">
        <v>17</v>
      </c>
      <c r="B35" s="1">
        <v>4.5</v>
      </c>
      <c r="C35" s="1">
        <v>54</v>
      </c>
      <c r="D35" s="1" t="s">
        <v>24</v>
      </c>
      <c r="E35" s="1" t="b">
        <v>1</v>
      </c>
      <c r="F35" s="1">
        <v>37</v>
      </c>
      <c r="G35" s="1">
        <v>5.6</v>
      </c>
      <c r="H35" s="1" t="s">
        <v>19</v>
      </c>
      <c r="I35" s="1" t="s">
        <v>20</v>
      </c>
      <c r="K35" s="1" t="b">
        <v>0</v>
      </c>
      <c r="L35" s="1" t="s">
        <v>22</v>
      </c>
      <c r="M35" s="1">
        <v>9</v>
      </c>
      <c r="N35" s="1">
        <v>14</v>
      </c>
      <c r="O35" s="1" t="s">
        <v>23</v>
      </c>
      <c r="P35" s="1">
        <v>47.218370999999998</v>
      </c>
      <c r="Q35" s="1">
        <v>-1.5536209999999999</v>
      </c>
    </row>
    <row r="36" spans="1:17" x14ac:dyDescent="0.25">
      <c r="A36" s="1" t="s">
        <v>17</v>
      </c>
      <c r="B36" s="1">
        <v>4.75</v>
      </c>
      <c r="C36" s="1">
        <v>57</v>
      </c>
      <c r="E36" s="1" t="b">
        <v>0</v>
      </c>
      <c r="F36" s="1">
        <v>41</v>
      </c>
      <c r="G36" s="1">
        <v>4.2</v>
      </c>
      <c r="H36" s="1" t="s">
        <v>36</v>
      </c>
      <c r="I36" s="1" t="s">
        <v>20</v>
      </c>
      <c r="K36" s="1" t="b">
        <v>1</v>
      </c>
      <c r="L36" s="1" t="s">
        <v>37</v>
      </c>
      <c r="M36" s="1">
        <v>19</v>
      </c>
      <c r="N36" s="1">
        <v>14</v>
      </c>
      <c r="O36" s="1" t="s">
        <v>23</v>
      </c>
      <c r="P36" s="1">
        <v>44.837789000000001</v>
      </c>
      <c r="Q36" s="1">
        <v>-0.57918000000000003</v>
      </c>
    </row>
    <row r="37" spans="1:17" x14ac:dyDescent="0.25">
      <c r="B37" s="1">
        <v>1.67</v>
      </c>
      <c r="C37" s="1">
        <v>20</v>
      </c>
      <c r="D37" s="1" t="s">
        <v>18</v>
      </c>
      <c r="E37" s="1" t="b">
        <v>1</v>
      </c>
      <c r="F37" s="1">
        <v>35</v>
      </c>
      <c r="G37" s="1">
        <v>5</v>
      </c>
      <c r="H37" s="1" t="s">
        <v>19</v>
      </c>
      <c r="I37" s="1" t="s">
        <v>20</v>
      </c>
      <c r="L37" s="1" t="s">
        <v>22</v>
      </c>
      <c r="M37" s="1">
        <v>10</v>
      </c>
      <c r="N37" s="1">
        <v>15</v>
      </c>
      <c r="O37" s="1" t="s">
        <v>23</v>
      </c>
      <c r="P37" s="1">
        <v>45.763420000000004</v>
      </c>
      <c r="Q37" s="1">
        <v>4.8342770000000002</v>
      </c>
    </row>
    <row r="38" spans="1:17" x14ac:dyDescent="0.25">
      <c r="B38" s="1">
        <v>1.67</v>
      </c>
      <c r="C38" s="1">
        <v>20</v>
      </c>
      <c r="D38" s="1" t="s">
        <v>24</v>
      </c>
      <c r="E38" s="1" t="b">
        <v>1</v>
      </c>
      <c r="F38" s="1">
        <v>28</v>
      </c>
      <c r="G38" s="1">
        <v>3.1</v>
      </c>
      <c r="H38" s="1" t="s">
        <v>19</v>
      </c>
      <c r="I38" s="1" t="s">
        <v>20</v>
      </c>
      <c r="L38" s="1" t="s">
        <v>22</v>
      </c>
      <c r="M38" s="1">
        <v>39</v>
      </c>
      <c r="N38" s="1">
        <v>18</v>
      </c>
      <c r="O38" s="1" t="s">
        <v>23</v>
      </c>
      <c r="P38" s="1">
        <v>43.296481999999997</v>
      </c>
      <c r="Q38" s="1">
        <v>5.3697800000000004</v>
      </c>
    </row>
    <row r="39" spans="1:17" x14ac:dyDescent="0.25">
      <c r="B39" s="1">
        <v>1.67</v>
      </c>
      <c r="C39" s="1">
        <v>20</v>
      </c>
      <c r="D39" s="1" t="s">
        <v>24</v>
      </c>
      <c r="E39" s="1" t="b">
        <v>0</v>
      </c>
      <c r="F39" s="1">
        <v>36</v>
      </c>
      <c r="G39" s="1">
        <v>3.9</v>
      </c>
      <c r="H39" s="1" t="s">
        <v>36</v>
      </c>
      <c r="I39" s="1" t="s">
        <v>20</v>
      </c>
      <c r="L39" s="1" t="s">
        <v>22</v>
      </c>
      <c r="M39" s="1">
        <v>35</v>
      </c>
      <c r="N39" s="1">
        <v>19</v>
      </c>
      <c r="O39" s="1" t="s">
        <v>23</v>
      </c>
      <c r="P39" s="1">
        <v>43.611660000000001</v>
      </c>
      <c r="Q39" s="1">
        <v>3.87771</v>
      </c>
    </row>
    <row r="40" spans="1:17" x14ac:dyDescent="0.25">
      <c r="B40" s="1">
        <v>1.75</v>
      </c>
      <c r="C40" s="1">
        <v>21</v>
      </c>
      <c r="D40" s="1" t="s">
        <v>18</v>
      </c>
      <c r="E40" s="1" t="b">
        <v>1</v>
      </c>
      <c r="F40" s="1">
        <v>28</v>
      </c>
      <c r="G40" s="1">
        <v>4.9000000000000004</v>
      </c>
      <c r="H40" s="1" t="s">
        <v>19</v>
      </c>
      <c r="I40" s="1" t="s">
        <v>20</v>
      </c>
      <c r="J40" s="1" t="s">
        <v>33</v>
      </c>
      <c r="K40" s="1" t="b">
        <v>0</v>
      </c>
      <c r="L40" s="1" t="s">
        <v>22</v>
      </c>
      <c r="M40" s="1">
        <v>10</v>
      </c>
      <c r="N40" s="1">
        <v>17</v>
      </c>
      <c r="O40" s="1" t="s">
        <v>23</v>
      </c>
      <c r="P40" s="1">
        <v>48.864716000000001</v>
      </c>
      <c r="Q40" s="1">
        <v>2.3490139999999999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DE9C-71EF-4856-8C83-D7A8F130AB15}">
  <dimension ref="A1:AF42"/>
  <sheetViews>
    <sheetView topLeftCell="N1" workbookViewId="0">
      <selection activeCell="N1" sqref="A1:XFD1048576"/>
    </sheetView>
  </sheetViews>
  <sheetFormatPr defaultRowHeight="15" x14ac:dyDescent="0.25"/>
  <cols>
    <col min="1" max="1" width="7.28515625" style="1" bestFit="1" customWidth="1"/>
    <col min="2" max="2" width="12.85546875" style="1" bestFit="1" customWidth="1"/>
    <col min="3" max="3" width="15" style="1" bestFit="1" customWidth="1"/>
    <col min="4" max="4" width="18.5703125" style="1" bestFit="1" customWidth="1"/>
    <col min="5" max="5" width="17.85546875" style="2" bestFit="1" customWidth="1"/>
    <col min="6" max="6" width="11" style="11" bestFit="1" customWidth="1"/>
    <col min="7" max="7" width="7.7109375" style="1" bestFit="1" customWidth="1"/>
    <col min="8" max="8" width="13.85546875" style="2" bestFit="1" customWidth="1"/>
    <col min="9" max="9" width="13.140625" style="3" bestFit="1" customWidth="1"/>
    <col min="10" max="10" width="20" style="1" bestFit="1" customWidth="1"/>
    <col min="11" max="11" width="12.140625" style="1" bestFit="1" customWidth="1"/>
    <col min="12" max="12" width="7.5703125" style="1" bestFit="1" customWidth="1"/>
    <col min="13" max="13" width="12.42578125" style="2" bestFit="1" customWidth="1"/>
    <col min="14" max="14" width="27.85546875" style="1" bestFit="1" customWidth="1"/>
    <col min="15" max="15" width="26.5703125" style="1" bestFit="1" customWidth="1"/>
    <col min="16" max="16" width="25.85546875" style="2" bestFit="1" customWidth="1"/>
    <col min="17" max="17" width="11.42578125" style="1" bestFit="1" customWidth="1"/>
    <col min="18" max="18" width="11.42578125" style="2" customWidth="1"/>
    <col min="19" max="19" width="10.7109375" style="1" bestFit="1" customWidth="1"/>
    <col min="20" max="20" width="17.28515625" style="1" bestFit="1" customWidth="1"/>
    <col min="21" max="21" width="16.42578125" style="2" bestFit="1" customWidth="1"/>
    <col min="22" max="22" width="31.42578125" style="1" bestFit="1" customWidth="1"/>
    <col min="23" max="23" width="23" style="1" bestFit="1" customWidth="1"/>
    <col min="24" max="24" width="14.85546875" style="1" bestFit="1" customWidth="1"/>
    <col min="25" max="25" width="21.5703125" style="1" bestFit="1" customWidth="1"/>
    <col min="26" max="26" width="20.28515625" style="2" bestFit="1" customWidth="1"/>
    <col min="27" max="27" width="25.7109375" style="1" bestFit="1" customWidth="1"/>
    <col min="28" max="28" width="17.42578125" style="1" bestFit="1" customWidth="1"/>
    <col min="29" max="29" width="9.28515625" style="1" bestFit="1" customWidth="1"/>
    <col min="30" max="30" width="14.140625" style="2" bestFit="1" customWidth="1"/>
    <col min="31" max="31" width="10" style="1" bestFit="1" customWidth="1"/>
    <col min="32" max="32" width="9.85546875" style="1" bestFit="1" customWidth="1"/>
    <col min="33" max="16384" width="9.140625" style="1"/>
  </cols>
  <sheetData>
    <row r="1" spans="1:32" s="13" customFormat="1" x14ac:dyDescent="0.25">
      <c r="A1" s="13" t="s">
        <v>0</v>
      </c>
      <c r="B1" s="13" t="s">
        <v>1</v>
      </c>
      <c r="C1" s="13" t="s">
        <v>2</v>
      </c>
      <c r="D1" s="13" t="s">
        <v>40</v>
      </c>
      <c r="E1" s="14" t="s">
        <v>41</v>
      </c>
      <c r="F1" s="12" t="s">
        <v>50</v>
      </c>
      <c r="G1" s="13" t="s">
        <v>3</v>
      </c>
      <c r="H1" s="14" t="s">
        <v>43</v>
      </c>
      <c r="I1" s="15" t="s">
        <v>44</v>
      </c>
      <c r="J1" s="13" t="s">
        <v>4</v>
      </c>
      <c r="K1" s="13" t="s">
        <v>5</v>
      </c>
      <c r="L1" s="13" t="s">
        <v>6</v>
      </c>
      <c r="M1" s="14" t="s">
        <v>42</v>
      </c>
      <c r="N1" s="13" t="s">
        <v>7</v>
      </c>
      <c r="O1" s="13" t="s">
        <v>52</v>
      </c>
      <c r="P1" s="14" t="s">
        <v>53</v>
      </c>
      <c r="Q1" s="13" t="s">
        <v>8</v>
      </c>
      <c r="R1" s="2" t="s">
        <v>93</v>
      </c>
      <c r="S1" s="13" t="s">
        <v>9</v>
      </c>
      <c r="T1" s="13" t="s">
        <v>45</v>
      </c>
      <c r="U1" s="14" t="s">
        <v>46</v>
      </c>
      <c r="V1" s="13" t="s">
        <v>10</v>
      </c>
      <c r="W1" s="13" t="s">
        <v>47</v>
      </c>
      <c r="X1" s="13" t="s">
        <v>11</v>
      </c>
      <c r="Y1" s="13" t="s">
        <v>48</v>
      </c>
      <c r="Z1" s="14" t="s">
        <v>49</v>
      </c>
      <c r="AA1" s="13" t="s">
        <v>12</v>
      </c>
      <c r="AB1" s="13" t="s">
        <v>13</v>
      </c>
      <c r="AC1" s="13" t="s">
        <v>14</v>
      </c>
      <c r="AD1" s="14" t="s">
        <v>54</v>
      </c>
      <c r="AE1" s="13" t="s">
        <v>15</v>
      </c>
      <c r="AF1" s="13" t="s">
        <v>16</v>
      </c>
    </row>
    <row r="2" spans="1:32" x14ac:dyDescent="0.25">
      <c r="A2" s="1" t="s">
        <v>17</v>
      </c>
      <c r="B2" s="1">
        <v>0.25</v>
      </c>
      <c r="C2" s="1">
        <v>3</v>
      </c>
      <c r="D2" s="1">
        <f>IF(C2&lt;&gt;"",C2,B2*12)</f>
        <v>3</v>
      </c>
      <c r="E2" s="2">
        <f>IF(D2&lt;=0,"",D2)</f>
        <v>3</v>
      </c>
      <c r="F2" s="11" t="str">
        <f>IF(E2&lt;=12,"Kitten",
IF(E2&lt;=36,"Young",
IF(E2&lt;=60,"Adult","Senior")))</f>
        <v>Kitten</v>
      </c>
      <c r="G2" s="1" t="s">
        <v>18</v>
      </c>
      <c r="H2" s="2" t="str">
        <f>IF(OR(G2="male",G2="female"),G2,"Unknown")</f>
        <v>female</v>
      </c>
      <c r="I2" s="3" t="str">
        <f>PROPER(H2)</f>
        <v>Female</v>
      </c>
      <c r="J2" s="1" t="b">
        <v>0</v>
      </c>
      <c r="K2" s="1">
        <v>19</v>
      </c>
      <c r="L2" s="1">
        <v>2</v>
      </c>
      <c r="M2" s="2">
        <f>IF(L2&gt;15,"",L2)</f>
        <v>2</v>
      </c>
      <c r="N2" s="1" t="s">
        <v>19</v>
      </c>
      <c r="O2" s="1" t="str">
        <f>IF(OR(N2="white",N2="black",N2="red/cream"),N2,"Unknown")</f>
        <v>white</v>
      </c>
      <c r="P2" s="2" t="str">
        <f>PROPER(O2)</f>
        <v>White</v>
      </c>
      <c r="Q2" s="1" t="s">
        <v>20</v>
      </c>
      <c r="R2" s="2" t="str">
        <f>PROPER(Q2)</f>
        <v>Solid</v>
      </c>
      <c r="S2" s="1" t="s">
        <v>21</v>
      </c>
      <c r="T2" s="1" t="str">
        <f>IF(OR(S2="blue",S2="green",S2="amber"),S2,"Unknown")</f>
        <v>blue</v>
      </c>
      <c r="U2" s="2" t="str">
        <f>PROPER(T2)</f>
        <v>Blue</v>
      </c>
      <c r="V2" s="1" t="b">
        <v>0</v>
      </c>
      <c r="W2" s="1" t="str">
        <f>IF(V2=TRUE,"Yes","No")</f>
        <v>No</v>
      </c>
      <c r="X2" s="1" t="s">
        <v>22</v>
      </c>
      <c r="Y2" s="1" t="str">
        <f>IF(OR(X2="wet",X2="dry"),X2,"Unknown")</f>
        <v>wet</v>
      </c>
      <c r="Z2" s="2" t="str">
        <f>PROPER(Y2)</f>
        <v>Wet</v>
      </c>
      <c r="AA2" s="1">
        <v>46</v>
      </c>
      <c r="AB2" s="1">
        <v>16</v>
      </c>
      <c r="AC2" s="1" t="s">
        <v>23</v>
      </c>
      <c r="AD2" s="2" t="str">
        <f t="shared" ref="AD2:AD40" si="0">PROPER(AC2)</f>
        <v>France</v>
      </c>
      <c r="AE2" s="1">
        <v>43.296481999999997</v>
      </c>
      <c r="AF2" s="1">
        <v>5.3697800000000004</v>
      </c>
    </row>
    <row r="3" spans="1:32" x14ac:dyDescent="0.25">
      <c r="A3" s="1" t="s">
        <v>17</v>
      </c>
      <c r="B3" s="1">
        <v>0.33</v>
      </c>
      <c r="C3" s="1">
        <v>4</v>
      </c>
      <c r="D3" s="1">
        <f t="shared" ref="D3:D40" si="1">IF(C3&lt;&gt;"",C3,B3*12)</f>
        <v>4</v>
      </c>
      <c r="E3" s="2">
        <f t="shared" ref="E3:E40" si="2">IF(D3&lt;=0,"",D3)</f>
        <v>4</v>
      </c>
      <c r="F3" s="11" t="str">
        <f t="shared" ref="F3:F40" si="3">IF(E3&lt;=12,"Kitten",
IF(E3&lt;=36,"Young",
IF(E3&lt;=60,"Adult","Senior")))</f>
        <v>Kitten</v>
      </c>
      <c r="G3" s="1" t="s">
        <v>24</v>
      </c>
      <c r="H3" s="2" t="str">
        <f t="shared" ref="H3:H40" si="4">IF(OR(G3="male",G3="female"),G3,"Unknown")</f>
        <v>male</v>
      </c>
      <c r="I3" s="3" t="str">
        <f t="shared" ref="I3:I40" si="5">PROPER(H3)</f>
        <v>Male</v>
      </c>
      <c r="J3" s="1" t="b">
        <v>0</v>
      </c>
      <c r="K3" s="1">
        <v>19</v>
      </c>
      <c r="L3" s="1">
        <v>2.5</v>
      </c>
      <c r="M3" s="2">
        <f t="shared" ref="M3:M10" si="6">IF(L3&gt;15,"",L3)</f>
        <v>2.5</v>
      </c>
      <c r="N3" s="1" t="s">
        <v>19</v>
      </c>
      <c r="O3" s="1" t="str">
        <f t="shared" ref="O3:O40" si="7">IF(OR(N3="white",N3="black",N3="red/cream"),N3,"Unknown")</f>
        <v>white</v>
      </c>
      <c r="P3" s="2" t="str">
        <f t="shared" ref="P3:P40" si="8">PROPER(O3)</f>
        <v>White</v>
      </c>
      <c r="Q3" s="1" t="s">
        <v>20</v>
      </c>
      <c r="R3" s="2" t="str">
        <f t="shared" ref="R3:R40" si="9">PROPER(Q3)</f>
        <v>Solid</v>
      </c>
      <c r="S3" s="1" t="s">
        <v>21</v>
      </c>
      <c r="T3" s="1" t="str">
        <f t="shared" ref="T3:T40" si="10">IF(OR(S3="blue",S3="green",S3="amber"),S3,"Unknown")</f>
        <v>blue</v>
      </c>
      <c r="U3" s="2" t="str">
        <f t="shared" ref="U3:U40" si="11">PROPER(T3)</f>
        <v>Blue</v>
      </c>
      <c r="V3" s="1" t="b">
        <v>0</v>
      </c>
      <c r="W3" s="1" t="str">
        <f t="shared" ref="W3:W36" si="12">IF(V3=TRUE,"Yes","No")</f>
        <v>No</v>
      </c>
      <c r="X3" s="1" t="s">
        <v>22</v>
      </c>
      <c r="Y3" s="1" t="str">
        <f t="shared" ref="Y3:Y40" si="13">IF(OR(X3="wet",X3="dry"),X3,"Unknown")</f>
        <v>wet</v>
      </c>
      <c r="Z3" s="2" t="str">
        <f t="shared" ref="Z3:Z40" si="14">PROPER(Y3)</f>
        <v>Wet</v>
      </c>
      <c r="AA3" s="1">
        <v>48</v>
      </c>
      <c r="AB3" s="1">
        <v>16</v>
      </c>
      <c r="AC3" s="1" t="s">
        <v>23</v>
      </c>
      <c r="AD3" s="2" t="str">
        <f t="shared" si="0"/>
        <v>France</v>
      </c>
      <c r="AE3" s="1">
        <v>43.611660000000001</v>
      </c>
      <c r="AF3" s="1">
        <v>3.87771</v>
      </c>
    </row>
    <row r="4" spans="1:32" x14ac:dyDescent="0.25">
      <c r="A4" s="1" t="s">
        <v>17</v>
      </c>
      <c r="B4" s="1">
        <v>0.5</v>
      </c>
      <c r="C4" s="1" t="s">
        <v>76</v>
      </c>
      <c r="D4" s="1" t="str">
        <f t="shared" si="1"/>
        <v>N/A</v>
      </c>
      <c r="F4" s="11" t="str">
        <f t="shared" si="3"/>
        <v>Kitten</v>
      </c>
      <c r="G4" s="1" t="s">
        <v>76</v>
      </c>
      <c r="H4" s="2" t="str">
        <f t="shared" si="4"/>
        <v>Unknown</v>
      </c>
      <c r="I4" s="3" t="str">
        <f t="shared" si="5"/>
        <v>Unknown</v>
      </c>
      <c r="J4" s="1" t="b">
        <v>0</v>
      </c>
      <c r="K4" s="1">
        <v>20</v>
      </c>
      <c r="L4" s="1">
        <v>2.8</v>
      </c>
      <c r="M4" s="2">
        <f t="shared" si="6"/>
        <v>2.8</v>
      </c>
      <c r="N4" s="1" t="s">
        <v>25</v>
      </c>
      <c r="O4" s="1" t="str">
        <f t="shared" si="7"/>
        <v>Unknown</v>
      </c>
      <c r="P4" s="2" t="str">
        <f t="shared" si="8"/>
        <v>Unknown</v>
      </c>
      <c r="Q4" s="1" t="s">
        <v>20</v>
      </c>
      <c r="R4" s="2" t="str">
        <f t="shared" si="9"/>
        <v>Solid</v>
      </c>
      <c r="S4" s="1" t="s">
        <v>26</v>
      </c>
      <c r="T4" s="1" t="str">
        <f t="shared" si="10"/>
        <v>green</v>
      </c>
      <c r="U4" s="2" t="str">
        <f t="shared" si="11"/>
        <v>Green</v>
      </c>
      <c r="V4" s="1" t="s">
        <v>27</v>
      </c>
      <c r="W4" s="1" t="str">
        <f t="shared" si="12"/>
        <v>No</v>
      </c>
      <c r="X4" s="1" t="s">
        <v>22</v>
      </c>
      <c r="Y4" s="1" t="str">
        <f t="shared" si="13"/>
        <v>wet</v>
      </c>
      <c r="Z4" s="2" t="str">
        <f t="shared" si="14"/>
        <v>Wet</v>
      </c>
      <c r="AA4" s="1">
        <v>41</v>
      </c>
      <c r="AB4" s="1">
        <v>11</v>
      </c>
      <c r="AC4" s="1" t="s">
        <v>23</v>
      </c>
      <c r="AD4" s="2" t="str">
        <f t="shared" si="0"/>
        <v>France</v>
      </c>
      <c r="AE4" s="1">
        <v>44.837789000000001</v>
      </c>
      <c r="AF4" s="1">
        <v>-0.57918000000000003</v>
      </c>
    </row>
    <row r="5" spans="1:32" x14ac:dyDescent="0.25">
      <c r="A5" s="1" t="s">
        <v>28</v>
      </c>
      <c r="B5" s="1">
        <v>0.5</v>
      </c>
      <c r="C5" s="1" t="s">
        <v>76</v>
      </c>
      <c r="D5" s="1" t="str">
        <f t="shared" si="1"/>
        <v>N/A</v>
      </c>
      <c r="F5" s="11" t="str">
        <f t="shared" si="3"/>
        <v>Kitten</v>
      </c>
      <c r="G5" s="1" t="s">
        <v>76</v>
      </c>
      <c r="H5" s="2" t="str">
        <f t="shared" si="4"/>
        <v>Unknown</v>
      </c>
      <c r="I5" s="3" t="str">
        <f t="shared" si="5"/>
        <v>Unknown</v>
      </c>
      <c r="J5" s="1" t="b">
        <v>0</v>
      </c>
      <c r="K5" s="1">
        <v>21</v>
      </c>
      <c r="L5" s="1">
        <v>3</v>
      </c>
      <c r="M5" s="2">
        <f t="shared" si="6"/>
        <v>3</v>
      </c>
      <c r="N5" s="1" t="s">
        <v>19</v>
      </c>
      <c r="O5" s="1" t="str">
        <f t="shared" si="7"/>
        <v>white</v>
      </c>
      <c r="P5" s="2" t="str">
        <f t="shared" si="8"/>
        <v>White</v>
      </c>
      <c r="Q5" s="1" t="s">
        <v>29</v>
      </c>
      <c r="R5" s="2" t="str">
        <f t="shared" si="9"/>
        <v>Dirty</v>
      </c>
      <c r="S5" s="1" t="s">
        <v>21</v>
      </c>
      <c r="T5" s="1" t="str">
        <f t="shared" si="10"/>
        <v>blue</v>
      </c>
      <c r="U5" s="2" t="str">
        <f t="shared" si="11"/>
        <v>Blue</v>
      </c>
      <c r="V5" s="1" t="b">
        <v>0</v>
      </c>
      <c r="W5" s="1" t="str">
        <f t="shared" si="12"/>
        <v>No</v>
      </c>
      <c r="X5" s="1" t="s">
        <v>22</v>
      </c>
      <c r="Y5" s="1" t="str">
        <f t="shared" si="13"/>
        <v>wet</v>
      </c>
      <c r="Z5" s="2" t="str">
        <f t="shared" si="14"/>
        <v>Wet</v>
      </c>
      <c r="AA5" s="1">
        <v>24</v>
      </c>
      <c r="AB5" s="1">
        <v>8</v>
      </c>
      <c r="AC5" s="1" t="s">
        <v>23</v>
      </c>
      <c r="AD5" s="2" t="str">
        <f t="shared" si="0"/>
        <v>France</v>
      </c>
      <c r="AE5" s="1">
        <v>43.611660000000001</v>
      </c>
      <c r="AF5" s="1">
        <v>3.87771</v>
      </c>
    </row>
    <row r="6" spans="1:32" x14ac:dyDescent="0.25">
      <c r="A6" s="1" t="s">
        <v>17</v>
      </c>
      <c r="B6" s="1">
        <v>0.5</v>
      </c>
      <c r="C6" s="1" t="s">
        <v>76</v>
      </c>
      <c r="D6" s="1" t="str">
        <f t="shared" si="1"/>
        <v>N/A</v>
      </c>
      <c r="F6" s="11" t="str">
        <f t="shared" si="3"/>
        <v>Kitten</v>
      </c>
      <c r="G6" s="1" t="s">
        <v>76</v>
      </c>
      <c r="H6" s="2" t="str">
        <f t="shared" si="4"/>
        <v>Unknown</v>
      </c>
      <c r="I6" s="3" t="str">
        <f t="shared" si="5"/>
        <v>Unknown</v>
      </c>
      <c r="J6" s="1" t="s">
        <v>76</v>
      </c>
      <c r="K6" s="1">
        <v>21</v>
      </c>
      <c r="L6" s="1">
        <v>3</v>
      </c>
      <c r="M6" s="2">
        <f t="shared" si="6"/>
        <v>3</v>
      </c>
      <c r="N6" s="1" t="s">
        <v>30</v>
      </c>
      <c r="O6" s="1" t="str">
        <f t="shared" si="7"/>
        <v>red/cream</v>
      </c>
      <c r="P6" s="2" t="str">
        <f t="shared" si="8"/>
        <v>Red/Cream</v>
      </c>
      <c r="Q6" s="1" t="s">
        <v>31</v>
      </c>
      <c r="R6" s="2" t="str">
        <f t="shared" si="9"/>
        <v>Tabby</v>
      </c>
      <c r="S6" s="1" t="s">
        <v>26</v>
      </c>
      <c r="T6" s="1" t="str">
        <f t="shared" si="10"/>
        <v>green</v>
      </c>
      <c r="U6" s="2" t="str">
        <f t="shared" si="11"/>
        <v>Green</v>
      </c>
      <c r="V6" s="1" t="b">
        <v>0</v>
      </c>
      <c r="W6" s="1" t="str">
        <f t="shared" si="12"/>
        <v>No</v>
      </c>
      <c r="X6" s="1" t="s">
        <v>22</v>
      </c>
      <c r="Y6" s="1" t="str">
        <f t="shared" si="13"/>
        <v>wet</v>
      </c>
      <c r="Z6" s="2" t="str">
        <f t="shared" si="14"/>
        <v>Wet</v>
      </c>
      <c r="AA6" s="1">
        <v>51</v>
      </c>
      <c r="AB6" s="1">
        <v>10</v>
      </c>
      <c r="AC6" s="1" t="s">
        <v>32</v>
      </c>
      <c r="AD6" s="2" t="str">
        <f t="shared" si="0"/>
        <v>France</v>
      </c>
      <c r="AE6" s="1">
        <v>48.864716000000001</v>
      </c>
      <c r="AF6" s="1">
        <v>2.3490139999999999</v>
      </c>
    </row>
    <row r="7" spans="1:32" x14ac:dyDescent="0.25">
      <c r="A7" s="1" t="s">
        <v>76</v>
      </c>
      <c r="B7" s="1">
        <v>0.5</v>
      </c>
      <c r="C7" s="1">
        <v>6</v>
      </c>
      <c r="D7" s="1">
        <f t="shared" si="1"/>
        <v>6</v>
      </c>
      <c r="E7" s="2">
        <f t="shared" si="2"/>
        <v>6</v>
      </c>
      <c r="F7" s="11" t="str">
        <f t="shared" si="3"/>
        <v>Kitten</v>
      </c>
      <c r="G7" s="1" t="s">
        <v>18</v>
      </c>
      <c r="H7" s="2" t="str">
        <f t="shared" si="4"/>
        <v>female</v>
      </c>
      <c r="I7" s="3" t="str">
        <f t="shared" si="5"/>
        <v>Female</v>
      </c>
      <c r="J7" s="1" t="b">
        <v>0</v>
      </c>
      <c r="K7" s="1">
        <v>21</v>
      </c>
      <c r="L7" s="1">
        <v>3</v>
      </c>
      <c r="M7" s="2">
        <f t="shared" si="6"/>
        <v>3</v>
      </c>
      <c r="N7" s="1" t="s">
        <v>19</v>
      </c>
      <c r="O7" s="1" t="str">
        <f t="shared" si="7"/>
        <v>white</v>
      </c>
      <c r="P7" s="2" t="str">
        <f t="shared" si="8"/>
        <v>White</v>
      </c>
      <c r="Q7" s="1" t="s">
        <v>20</v>
      </c>
      <c r="R7" s="2" t="str">
        <f t="shared" si="9"/>
        <v>Solid</v>
      </c>
      <c r="S7" s="1" t="s">
        <v>33</v>
      </c>
      <c r="T7" s="1" t="str">
        <f t="shared" si="10"/>
        <v>amber</v>
      </c>
      <c r="U7" s="2" t="str">
        <f t="shared" si="11"/>
        <v>Amber</v>
      </c>
      <c r="V7" s="1" t="b">
        <v>0</v>
      </c>
      <c r="W7" s="1" t="str">
        <f t="shared" si="12"/>
        <v>No</v>
      </c>
      <c r="X7" s="1" t="s">
        <v>34</v>
      </c>
      <c r="Y7" s="1" t="str">
        <f t="shared" si="13"/>
        <v>Unknown</v>
      </c>
      <c r="Z7" s="2" t="str">
        <f t="shared" si="14"/>
        <v>Unknown</v>
      </c>
      <c r="AA7" s="1">
        <v>30</v>
      </c>
      <c r="AB7" s="1">
        <v>28</v>
      </c>
      <c r="AC7" s="1" t="s">
        <v>23</v>
      </c>
      <c r="AD7" s="2" t="str">
        <f t="shared" si="0"/>
        <v>France</v>
      </c>
      <c r="AE7" s="1">
        <v>43.611660000000001</v>
      </c>
      <c r="AF7" s="1">
        <v>3.87771</v>
      </c>
    </row>
    <row r="8" spans="1:32" x14ac:dyDescent="0.25">
      <c r="A8" s="1" t="s">
        <v>17</v>
      </c>
      <c r="B8" s="1">
        <v>0.57999999999999996</v>
      </c>
      <c r="C8" s="1" t="s">
        <v>76</v>
      </c>
      <c r="D8" s="1" t="str">
        <f t="shared" si="1"/>
        <v>N/A</v>
      </c>
      <c r="F8" s="11" t="str">
        <f t="shared" si="3"/>
        <v>Kitten</v>
      </c>
      <c r="G8" s="1" t="s">
        <v>76</v>
      </c>
      <c r="H8" s="2" t="str">
        <f t="shared" si="4"/>
        <v>Unknown</v>
      </c>
      <c r="I8" s="3" t="str">
        <f t="shared" si="5"/>
        <v>Unknown</v>
      </c>
      <c r="J8" s="1" t="s">
        <v>76</v>
      </c>
      <c r="K8" s="1">
        <v>22</v>
      </c>
      <c r="L8" s="1">
        <v>3</v>
      </c>
      <c r="M8" s="2">
        <f t="shared" si="6"/>
        <v>3</v>
      </c>
      <c r="N8" s="1" t="s">
        <v>19</v>
      </c>
      <c r="O8" s="1" t="str">
        <f t="shared" si="7"/>
        <v>white</v>
      </c>
      <c r="P8" s="2" t="str">
        <f t="shared" si="8"/>
        <v>White</v>
      </c>
      <c r="Q8" s="1" t="s">
        <v>20</v>
      </c>
      <c r="R8" s="2" t="str">
        <f t="shared" si="9"/>
        <v>Solid</v>
      </c>
      <c r="S8" s="1" t="s">
        <v>33</v>
      </c>
      <c r="T8" s="1" t="str">
        <f t="shared" si="10"/>
        <v>amber</v>
      </c>
      <c r="U8" s="2" t="str">
        <f t="shared" si="11"/>
        <v>Amber</v>
      </c>
      <c r="V8" s="1" t="b">
        <v>0</v>
      </c>
      <c r="W8" s="1" t="str">
        <f t="shared" si="12"/>
        <v>No</v>
      </c>
      <c r="X8" s="1" t="s">
        <v>22</v>
      </c>
      <c r="Y8" s="1" t="str">
        <f t="shared" si="13"/>
        <v>wet</v>
      </c>
      <c r="Z8" s="2" t="str">
        <f t="shared" si="14"/>
        <v>Wet</v>
      </c>
      <c r="AA8" s="1">
        <v>47</v>
      </c>
      <c r="AB8" s="1">
        <v>9</v>
      </c>
      <c r="AC8" s="1" t="s">
        <v>23</v>
      </c>
      <c r="AD8" s="2" t="str">
        <f t="shared" si="0"/>
        <v>France</v>
      </c>
      <c r="AE8" s="1">
        <v>47.218370999999998</v>
      </c>
      <c r="AF8" s="1">
        <v>-1.5536209999999999</v>
      </c>
    </row>
    <row r="9" spans="1:32" x14ac:dyDescent="0.25">
      <c r="A9" s="1" t="s">
        <v>17</v>
      </c>
      <c r="B9" s="1" t="s">
        <v>76</v>
      </c>
      <c r="C9" s="1">
        <v>7</v>
      </c>
      <c r="D9" s="1">
        <f t="shared" si="1"/>
        <v>7</v>
      </c>
      <c r="E9" s="2">
        <f t="shared" si="2"/>
        <v>7</v>
      </c>
      <c r="F9" s="11" t="str">
        <f t="shared" si="3"/>
        <v>Kitten</v>
      </c>
      <c r="G9" s="1" t="s">
        <v>76</v>
      </c>
      <c r="H9" s="2" t="str">
        <f t="shared" si="4"/>
        <v>Unknown</v>
      </c>
      <c r="I9" s="3" t="str">
        <f t="shared" si="5"/>
        <v>Unknown</v>
      </c>
      <c r="J9" s="1" t="s">
        <v>76</v>
      </c>
      <c r="K9" s="1">
        <v>23</v>
      </c>
      <c r="L9" s="1">
        <v>3</v>
      </c>
      <c r="M9" s="2">
        <f t="shared" si="6"/>
        <v>3</v>
      </c>
      <c r="N9" s="1" t="s">
        <v>30</v>
      </c>
      <c r="O9" s="1" t="str">
        <f t="shared" si="7"/>
        <v>red/cream</v>
      </c>
      <c r="P9" s="2" t="str">
        <f t="shared" si="8"/>
        <v>Red/Cream</v>
      </c>
      <c r="Q9" s="1" t="s">
        <v>76</v>
      </c>
      <c r="R9" s="2" t="str">
        <f t="shared" si="9"/>
        <v>N/A</v>
      </c>
      <c r="S9" s="1" t="s">
        <v>35</v>
      </c>
      <c r="T9" s="1" t="str">
        <f t="shared" si="10"/>
        <v>Unknown</v>
      </c>
      <c r="U9" s="2" t="str">
        <f t="shared" si="11"/>
        <v>Unknown</v>
      </c>
      <c r="V9" s="1" t="b">
        <v>0</v>
      </c>
      <c r="W9" s="1" t="str">
        <f t="shared" si="12"/>
        <v>No</v>
      </c>
      <c r="X9" s="1" t="s">
        <v>22</v>
      </c>
      <c r="Y9" s="1" t="str">
        <f t="shared" si="13"/>
        <v>wet</v>
      </c>
      <c r="Z9" s="2" t="str">
        <f t="shared" si="14"/>
        <v>Wet</v>
      </c>
      <c r="AA9" s="1">
        <v>55</v>
      </c>
      <c r="AB9" s="1">
        <v>11</v>
      </c>
      <c r="AC9" s="1" t="s">
        <v>23</v>
      </c>
      <c r="AD9" s="2" t="str">
        <f t="shared" si="0"/>
        <v>France</v>
      </c>
      <c r="AE9" s="1">
        <v>47.218370999999998</v>
      </c>
      <c r="AF9" s="1">
        <v>-1.5536209999999999</v>
      </c>
    </row>
    <row r="10" spans="1:32" x14ac:dyDescent="0.25">
      <c r="A10" s="1" t="s">
        <v>17</v>
      </c>
      <c r="B10" s="1" t="s">
        <v>76</v>
      </c>
      <c r="C10" s="1">
        <v>7</v>
      </c>
      <c r="D10" s="1">
        <f t="shared" si="1"/>
        <v>7</v>
      </c>
      <c r="E10" s="2">
        <f t="shared" si="2"/>
        <v>7</v>
      </c>
      <c r="F10" s="11" t="str">
        <f t="shared" si="3"/>
        <v>Kitten</v>
      </c>
      <c r="G10" s="1" t="s">
        <v>18</v>
      </c>
      <c r="H10" s="2" t="str">
        <f t="shared" si="4"/>
        <v>female</v>
      </c>
      <c r="I10" s="3" t="str">
        <f t="shared" si="5"/>
        <v>Female</v>
      </c>
      <c r="J10" s="1" t="s">
        <v>76</v>
      </c>
      <c r="K10" s="1">
        <v>25</v>
      </c>
      <c r="L10" s="1">
        <v>3</v>
      </c>
      <c r="M10" s="2">
        <f t="shared" si="6"/>
        <v>3</v>
      </c>
      <c r="N10" s="1" t="s">
        <v>36</v>
      </c>
      <c r="O10" s="1" t="str">
        <f t="shared" si="7"/>
        <v>black</v>
      </c>
      <c r="P10" s="2" t="str">
        <f t="shared" si="8"/>
        <v>Black</v>
      </c>
      <c r="Q10" s="1" t="s">
        <v>76</v>
      </c>
      <c r="R10" s="2" t="str">
        <f t="shared" si="9"/>
        <v>N/A</v>
      </c>
      <c r="S10" s="1" t="s">
        <v>21</v>
      </c>
      <c r="T10" s="1" t="str">
        <f t="shared" si="10"/>
        <v>blue</v>
      </c>
      <c r="U10" s="2" t="str">
        <f t="shared" si="11"/>
        <v>Blue</v>
      </c>
      <c r="V10" s="1" t="b">
        <v>0</v>
      </c>
      <c r="W10" s="1" t="str">
        <f t="shared" si="12"/>
        <v>No</v>
      </c>
      <c r="X10" s="1" t="s">
        <v>22</v>
      </c>
      <c r="Y10" s="1" t="str">
        <f t="shared" si="13"/>
        <v>wet</v>
      </c>
      <c r="Z10" s="2" t="str">
        <f t="shared" si="14"/>
        <v>Wet</v>
      </c>
      <c r="AA10" s="1">
        <v>20</v>
      </c>
      <c r="AB10" s="1">
        <v>12</v>
      </c>
      <c r="AC10" s="1" t="s">
        <v>23</v>
      </c>
      <c r="AD10" s="2" t="str">
        <f t="shared" si="0"/>
        <v>France</v>
      </c>
      <c r="AE10" s="1">
        <v>43.296481999999997</v>
      </c>
      <c r="AF10" s="1">
        <v>5.3697800000000004</v>
      </c>
    </row>
    <row r="11" spans="1:32" x14ac:dyDescent="0.25">
      <c r="A11" s="1" t="s">
        <v>17</v>
      </c>
      <c r="B11" s="1" t="s">
        <v>76</v>
      </c>
      <c r="C11" s="1">
        <v>8</v>
      </c>
      <c r="D11" s="1">
        <f t="shared" si="1"/>
        <v>8</v>
      </c>
      <c r="E11" s="2">
        <f t="shared" si="2"/>
        <v>8</v>
      </c>
      <c r="F11" s="11" t="str">
        <f t="shared" si="3"/>
        <v>Kitten</v>
      </c>
      <c r="G11" s="1" t="s">
        <v>18</v>
      </c>
      <c r="H11" s="2" t="str">
        <f t="shared" si="4"/>
        <v>female</v>
      </c>
      <c r="I11" s="3" t="str">
        <f t="shared" si="5"/>
        <v>Female</v>
      </c>
      <c r="J11" s="1" t="s">
        <v>76</v>
      </c>
      <c r="K11" s="1">
        <v>25</v>
      </c>
      <c r="L11" s="1">
        <v>3.2</v>
      </c>
      <c r="M11" s="2">
        <f>IF(L11&gt;15,0,L11)</f>
        <v>3.2</v>
      </c>
      <c r="N11" s="1" t="s">
        <v>19</v>
      </c>
      <c r="O11" s="1" t="str">
        <f t="shared" si="7"/>
        <v>white</v>
      </c>
      <c r="P11" s="2" t="str">
        <f t="shared" si="8"/>
        <v>White</v>
      </c>
      <c r="Q11" s="1" t="s">
        <v>76</v>
      </c>
      <c r="R11" s="2" t="str">
        <f t="shared" si="9"/>
        <v>N/A</v>
      </c>
      <c r="S11" s="1" t="s">
        <v>21</v>
      </c>
      <c r="T11" s="1" t="str">
        <f t="shared" si="10"/>
        <v>blue</v>
      </c>
      <c r="U11" s="2" t="str">
        <f t="shared" si="11"/>
        <v>Blue</v>
      </c>
      <c r="V11" s="1" t="b">
        <v>0</v>
      </c>
      <c r="W11" s="1" t="str">
        <f t="shared" si="12"/>
        <v>No</v>
      </c>
      <c r="X11" s="1" t="s">
        <v>22</v>
      </c>
      <c r="Y11" s="1" t="str">
        <f t="shared" si="13"/>
        <v>wet</v>
      </c>
      <c r="Z11" s="2" t="str">
        <f t="shared" si="14"/>
        <v>Wet</v>
      </c>
      <c r="AA11" s="1">
        <v>33</v>
      </c>
      <c r="AB11" s="1">
        <v>17</v>
      </c>
      <c r="AC11" s="1" t="s">
        <v>23</v>
      </c>
      <c r="AD11" s="2" t="str">
        <f t="shared" si="0"/>
        <v>France</v>
      </c>
      <c r="AE11" s="1">
        <v>44.837789000000001</v>
      </c>
      <c r="AF11" s="1">
        <v>-0.57918000000000003</v>
      </c>
    </row>
    <row r="12" spans="1:32" x14ac:dyDescent="0.25">
      <c r="A12" s="1" t="s">
        <v>76</v>
      </c>
      <c r="B12" s="1">
        <v>0.67</v>
      </c>
      <c r="C12" s="1">
        <v>8</v>
      </c>
      <c r="D12" s="1">
        <f t="shared" si="1"/>
        <v>8</v>
      </c>
      <c r="E12" s="2">
        <f t="shared" si="2"/>
        <v>8</v>
      </c>
      <c r="F12" s="11" t="str">
        <f t="shared" si="3"/>
        <v>Kitten</v>
      </c>
      <c r="G12" s="1" t="s">
        <v>18</v>
      </c>
      <c r="H12" s="2" t="str">
        <f t="shared" si="4"/>
        <v>female</v>
      </c>
      <c r="I12" s="3" t="str">
        <f t="shared" si="5"/>
        <v>Female</v>
      </c>
      <c r="J12" s="1" t="b">
        <v>0</v>
      </c>
      <c r="K12" s="1">
        <v>26</v>
      </c>
      <c r="L12" s="1">
        <v>3</v>
      </c>
      <c r="M12" s="2">
        <f t="shared" ref="M12:M40" si="15">IF(L12&gt;15,0,L12)</f>
        <v>3</v>
      </c>
      <c r="N12" s="1" t="s">
        <v>36</v>
      </c>
      <c r="O12" s="1" t="str">
        <f t="shared" si="7"/>
        <v>black</v>
      </c>
      <c r="P12" s="2" t="str">
        <f t="shared" si="8"/>
        <v>Black</v>
      </c>
      <c r="Q12" s="1" t="s">
        <v>20</v>
      </c>
      <c r="R12" s="2" t="str">
        <f t="shared" si="9"/>
        <v>Solid</v>
      </c>
      <c r="S12" s="1" t="s">
        <v>26</v>
      </c>
      <c r="T12" s="1" t="str">
        <f t="shared" si="10"/>
        <v>green</v>
      </c>
      <c r="U12" s="2" t="str">
        <f t="shared" si="11"/>
        <v>Green</v>
      </c>
      <c r="V12" s="1" t="b">
        <v>0</v>
      </c>
      <c r="W12" s="1" t="str">
        <f t="shared" si="12"/>
        <v>No</v>
      </c>
      <c r="X12" s="1" t="s">
        <v>22</v>
      </c>
      <c r="Y12" s="1" t="str">
        <f t="shared" si="13"/>
        <v>wet</v>
      </c>
      <c r="Z12" s="2" t="str">
        <f t="shared" si="14"/>
        <v>Wet</v>
      </c>
      <c r="AA12" s="1">
        <v>39</v>
      </c>
      <c r="AB12" s="1">
        <v>18</v>
      </c>
      <c r="AC12" s="1" t="s">
        <v>23</v>
      </c>
      <c r="AD12" s="2" t="str">
        <f t="shared" si="0"/>
        <v>France</v>
      </c>
      <c r="AE12" s="1">
        <v>43.296481999999997</v>
      </c>
      <c r="AF12" s="1">
        <v>5.3697800000000004</v>
      </c>
    </row>
    <row r="13" spans="1:32" x14ac:dyDescent="0.25">
      <c r="A13" s="1" t="s">
        <v>17</v>
      </c>
      <c r="B13" s="1">
        <v>0.67</v>
      </c>
      <c r="C13" s="1">
        <v>8</v>
      </c>
      <c r="D13" s="1">
        <f t="shared" si="1"/>
        <v>8</v>
      </c>
      <c r="E13" s="2">
        <f t="shared" si="2"/>
        <v>8</v>
      </c>
      <c r="F13" s="11" t="str">
        <f t="shared" si="3"/>
        <v>Kitten</v>
      </c>
      <c r="G13" s="1" t="s">
        <v>24</v>
      </c>
      <c r="H13" s="2" t="str">
        <f t="shared" si="4"/>
        <v>male</v>
      </c>
      <c r="I13" s="3" t="str">
        <f t="shared" si="5"/>
        <v>Male</v>
      </c>
      <c r="J13" s="1" t="s">
        <v>76</v>
      </c>
      <c r="K13" s="1">
        <v>26</v>
      </c>
      <c r="L13" s="1">
        <v>3.3</v>
      </c>
      <c r="M13" s="2">
        <f t="shared" si="15"/>
        <v>3.3</v>
      </c>
      <c r="N13" s="1" t="s">
        <v>19</v>
      </c>
      <c r="O13" s="1" t="str">
        <f t="shared" si="7"/>
        <v>white</v>
      </c>
      <c r="P13" s="2" t="str">
        <f t="shared" si="8"/>
        <v>White</v>
      </c>
      <c r="Q13" s="1" t="s">
        <v>76</v>
      </c>
      <c r="R13" s="2" t="str">
        <f t="shared" si="9"/>
        <v>N/A</v>
      </c>
      <c r="S13" s="1" t="s">
        <v>33</v>
      </c>
      <c r="T13" s="1" t="str">
        <f t="shared" si="10"/>
        <v>amber</v>
      </c>
      <c r="U13" s="2" t="str">
        <f t="shared" si="11"/>
        <v>Amber</v>
      </c>
      <c r="V13" s="1" t="b">
        <v>0</v>
      </c>
      <c r="W13" s="1" t="str">
        <f t="shared" si="12"/>
        <v>No</v>
      </c>
      <c r="X13" s="1" t="s">
        <v>22</v>
      </c>
      <c r="Y13" s="1" t="str">
        <f t="shared" si="13"/>
        <v>wet</v>
      </c>
      <c r="Z13" s="2" t="str">
        <f t="shared" si="14"/>
        <v>Wet</v>
      </c>
      <c r="AA13" s="1" t="s">
        <v>76</v>
      </c>
      <c r="AB13" s="1" t="s">
        <v>76</v>
      </c>
      <c r="AC13" s="1" t="s">
        <v>23</v>
      </c>
      <c r="AD13" s="2" t="str">
        <f t="shared" si="0"/>
        <v>France</v>
      </c>
      <c r="AE13" s="1">
        <v>43.611660000000001</v>
      </c>
      <c r="AF13" s="1">
        <v>3.87771</v>
      </c>
    </row>
    <row r="14" spans="1:32" x14ac:dyDescent="0.25">
      <c r="A14" s="1" t="s">
        <v>17</v>
      </c>
      <c r="B14" s="1">
        <v>0.75</v>
      </c>
      <c r="C14" s="1">
        <v>9</v>
      </c>
      <c r="D14" s="1">
        <f t="shared" si="1"/>
        <v>9</v>
      </c>
      <c r="E14" s="2">
        <f t="shared" si="2"/>
        <v>9</v>
      </c>
      <c r="F14" s="11" t="str">
        <f t="shared" si="3"/>
        <v>Kitten</v>
      </c>
      <c r="G14" s="1" t="s">
        <v>24</v>
      </c>
      <c r="H14" s="2" t="str">
        <f t="shared" si="4"/>
        <v>male</v>
      </c>
      <c r="I14" s="3" t="str">
        <f t="shared" si="5"/>
        <v>Male</v>
      </c>
      <c r="J14" s="1" t="s">
        <v>76</v>
      </c>
      <c r="K14" s="1">
        <v>27</v>
      </c>
      <c r="L14" s="1">
        <v>3.3</v>
      </c>
      <c r="M14" s="2">
        <f t="shared" si="15"/>
        <v>3.3</v>
      </c>
      <c r="N14" s="1" t="s">
        <v>19</v>
      </c>
      <c r="O14" s="1" t="str">
        <f t="shared" si="7"/>
        <v>white</v>
      </c>
      <c r="P14" s="2" t="str">
        <f t="shared" si="8"/>
        <v>White</v>
      </c>
      <c r="Q14" s="1" t="s">
        <v>76</v>
      </c>
      <c r="R14" s="2" t="str">
        <f t="shared" si="9"/>
        <v>N/A</v>
      </c>
      <c r="S14" s="1" t="s">
        <v>33</v>
      </c>
      <c r="T14" s="1" t="str">
        <f t="shared" si="10"/>
        <v>amber</v>
      </c>
      <c r="U14" s="2" t="str">
        <f t="shared" si="11"/>
        <v>Amber</v>
      </c>
      <c r="V14" s="1" t="b">
        <v>0</v>
      </c>
      <c r="W14" s="1" t="str">
        <f t="shared" si="12"/>
        <v>No</v>
      </c>
      <c r="X14" s="1" t="s">
        <v>22</v>
      </c>
      <c r="Y14" s="1" t="str">
        <f t="shared" si="13"/>
        <v>wet</v>
      </c>
      <c r="Z14" s="2" t="str">
        <f t="shared" si="14"/>
        <v>Wet</v>
      </c>
      <c r="AA14" s="1" t="s">
        <v>76</v>
      </c>
      <c r="AB14" s="1" t="s">
        <v>76</v>
      </c>
      <c r="AC14" s="1" t="s">
        <v>23</v>
      </c>
      <c r="AD14" s="2" t="str">
        <f t="shared" si="0"/>
        <v>France</v>
      </c>
      <c r="AE14" s="1">
        <v>48.864716000000001</v>
      </c>
      <c r="AF14" s="1">
        <v>2.3490139999999999</v>
      </c>
    </row>
    <row r="15" spans="1:32" x14ac:dyDescent="0.25">
      <c r="A15" s="1" t="s">
        <v>17</v>
      </c>
      <c r="B15" s="1">
        <v>-1.0833333329999999</v>
      </c>
      <c r="C15" s="1">
        <v>-13</v>
      </c>
      <c r="D15" s="1">
        <f t="shared" si="1"/>
        <v>-13</v>
      </c>
      <c r="E15" s="2">
        <v>13</v>
      </c>
      <c r="F15" s="11" t="str">
        <f t="shared" si="3"/>
        <v>Young</v>
      </c>
      <c r="G15" s="1" t="s">
        <v>24</v>
      </c>
      <c r="H15" s="2" t="str">
        <f t="shared" si="4"/>
        <v>male</v>
      </c>
      <c r="I15" s="3" t="str">
        <f t="shared" si="5"/>
        <v>Male</v>
      </c>
      <c r="J15" s="1" t="s">
        <v>76</v>
      </c>
      <c r="K15" s="1">
        <v>28</v>
      </c>
      <c r="L15" s="1">
        <v>3.2</v>
      </c>
      <c r="M15" s="2">
        <f t="shared" si="15"/>
        <v>3.2</v>
      </c>
      <c r="N15" s="1" t="s">
        <v>19</v>
      </c>
      <c r="O15" s="1" t="str">
        <f t="shared" si="7"/>
        <v>white</v>
      </c>
      <c r="P15" s="2" t="str">
        <f t="shared" si="8"/>
        <v>White</v>
      </c>
      <c r="Q15" s="1" t="s">
        <v>20</v>
      </c>
      <c r="R15" s="2" t="str">
        <f t="shared" si="9"/>
        <v>Solid</v>
      </c>
      <c r="S15" s="1" t="s">
        <v>21</v>
      </c>
      <c r="T15" s="1" t="str">
        <f t="shared" si="10"/>
        <v>blue</v>
      </c>
      <c r="U15" s="2" t="str">
        <f t="shared" si="11"/>
        <v>Blue</v>
      </c>
      <c r="V15" s="1" t="b">
        <v>0</v>
      </c>
      <c r="W15" s="1" t="str">
        <f t="shared" si="12"/>
        <v>No</v>
      </c>
      <c r="X15" s="1" t="s">
        <v>22</v>
      </c>
      <c r="Y15" s="1" t="str">
        <f t="shared" si="13"/>
        <v>wet</v>
      </c>
      <c r="Z15" s="2" t="str">
        <f t="shared" si="14"/>
        <v>Wet</v>
      </c>
      <c r="AA15" s="1">
        <v>35</v>
      </c>
      <c r="AB15" s="1">
        <v>14</v>
      </c>
      <c r="AC15" s="1" t="s">
        <v>23</v>
      </c>
      <c r="AD15" s="2" t="str">
        <f t="shared" si="0"/>
        <v>France</v>
      </c>
      <c r="AE15" s="1">
        <v>45.763420000000004</v>
      </c>
      <c r="AF15" s="1">
        <v>4.8342770000000002</v>
      </c>
    </row>
    <row r="16" spans="1:32" x14ac:dyDescent="0.25">
      <c r="A16" s="1" t="s">
        <v>17</v>
      </c>
      <c r="B16" s="1">
        <v>-1.3333333329999999</v>
      </c>
      <c r="C16" s="1">
        <v>-16</v>
      </c>
      <c r="D16" s="1">
        <f t="shared" si="1"/>
        <v>-16</v>
      </c>
      <c r="E16" s="2">
        <v>16</v>
      </c>
      <c r="F16" s="11" t="str">
        <f t="shared" si="3"/>
        <v>Young</v>
      </c>
      <c r="G16" s="1" t="s">
        <v>24</v>
      </c>
      <c r="H16" s="2" t="str">
        <f t="shared" si="4"/>
        <v>male</v>
      </c>
      <c r="I16" s="3" t="str">
        <f t="shared" si="5"/>
        <v>Male</v>
      </c>
      <c r="J16" s="1" t="s">
        <v>76</v>
      </c>
      <c r="K16" s="1">
        <v>30</v>
      </c>
      <c r="L16" s="1">
        <v>3.5</v>
      </c>
      <c r="M16" s="2">
        <f t="shared" si="15"/>
        <v>3.5</v>
      </c>
      <c r="N16" s="1" t="s">
        <v>30</v>
      </c>
      <c r="O16" s="1" t="str">
        <f t="shared" si="7"/>
        <v>red/cream</v>
      </c>
      <c r="P16" s="2" t="str">
        <f t="shared" si="8"/>
        <v>Red/Cream</v>
      </c>
      <c r="Q16" s="1" t="s">
        <v>31</v>
      </c>
      <c r="R16" s="2" t="str">
        <f t="shared" si="9"/>
        <v>Tabby</v>
      </c>
      <c r="S16" s="1" t="s">
        <v>21</v>
      </c>
      <c r="T16" s="1" t="str">
        <f t="shared" si="10"/>
        <v>blue</v>
      </c>
      <c r="U16" s="2" t="str">
        <f t="shared" si="11"/>
        <v>Blue</v>
      </c>
      <c r="V16" s="1" t="b">
        <v>0</v>
      </c>
      <c r="W16" s="1" t="str">
        <f t="shared" si="12"/>
        <v>No</v>
      </c>
      <c r="X16" s="1" t="s">
        <v>37</v>
      </c>
      <c r="Y16" s="1" t="str">
        <f t="shared" si="13"/>
        <v>dry</v>
      </c>
      <c r="Z16" s="2" t="str">
        <f t="shared" si="14"/>
        <v>Dry</v>
      </c>
      <c r="AA16" s="1">
        <v>38</v>
      </c>
      <c r="AB16" s="1">
        <v>20</v>
      </c>
      <c r="AC16" s="1" t="s">
        <v>23</v>
      </c>
      <c r="AD16" s="2" t="str">
        <f t="shared" si="0"/>
        <v>France</v>
      </c>
      <c r="AE16" s="1">
        <v>48.864716000000001</v>
      </c>
      <c r="AF16" s="1">
        <v>2.3490139999999999</v>
      </c>
    </row>
    <row r="17" spans="1:32" x14ac:dyDescent="0.25">
      <c r="A17" s="1" t="s">
        <v>76</v>
      </c>
      <c r="B17" s="1">
        <v>0.83</v>
      </c>
      <c r="C17" s="1">
        <v>10</v>
      </c>
      <c r="D17" s="1">
        <f t="shared" si="1"/>
        <v>10</v>
      </c>
      <c r="E17" s="2">
        <f t="shared" si="2"/>
        <v>10</v>
      </c>
      <c r="F17" s="11" t="str">
        <f t="shared" si="3"/>
        <v>Kitten</v>
      </c>
      <c r="G17" s="1" t="s">
        <v>24</v>
      </c>
      <c r="H17" s="2" t="str">
        <f t="shared" si="4"/>
        <v>male</v>
      </c>
      <c r="I17" s="3" t="str">
        <f t="shared" si="5"/>
        <v>Male</v>
      </c>
      <c r="J17" s="1" t="b">
        <v>0</v>
      </c>
      <c r="K17" s="1">
        <v>31</v>
      </c>
      <c r="L17" s="1">
        <v>3.4</v>
      </c>
      <c r="M17" s="2">
        <f t="shared" si="15"/>
        <v>3.4</v>
      </c>
      <c r="N17" s="1" t="s">
        <v>19</v>
      </c>
      <c r="O17" s="1" t="str">
        <f t="shared" si="7"/>
        <v>white</v>
      </c>
      <c r="P17" s="2" t="str">
        <f t="shared" si="8"/>
        <v>White</v>
      </c>
      <c r="Q17" s="1" t="s">
        <v>20</v>
      </c>
      <c r="R17" s="2" t="str">
        <f t="shared" si="9"/>
        <v>Solid</v>
      </c>
      <c r="S17" s="1" t="s">
        <v>26</v>
      </c>
      <c r="T17" s="1" t="str">
        <f t="shared" si="10"/>
        <v>green</v>
      </c>
      <c r="U17" s="2" t="str">
        <f t="shared" si="11"/>
        <v>Green</v>
      </c>
      <c r="V17" s="1" t="b">
        <v>0</v>
      </c>
      <c r="W17" s="1" t="str">
        <f t="shared" si="12"/>
        <v>No</v>
      </c>
      <c r="X17" s="1" t="s">
        <v>37</v>
      </c>
      <c r="Y17" s="1" t="str">
        <f t="shared" si="13"/>
        <v>dry</v>
      </c>
      <c r="Z17" s="2" t="str">
        <f t="shared" si="14"/>
        <v>Dry</v>
      </c>
      <c r="AA17" s="1">
        <v>56</v>
      </c>
      <c r="AB17" s="1">
        <v>17</v>
      </c>
      <c r="AC17" s="1" t="s">
        <v>23</v>
      </c>
      <c r="AD17" s="2" t="str">
        <f t="shared" si="0"/>
        <v>France</v>
      </c>
      <c r="AE17" s="1">
        <v>48.864716000000001</v>
      </c>
      <c r="AF17" s="1">
        <v>2.3490139999999999</v>
      </c>
    </row>
    <row r="18" spans="1:32" x14ac:dyDescent="0.25">
      <c r="A18" s="1" t="s">
        <v>76</v>
      </c>
      <c r="B18" s="1" t="s">
        <v>76</v>
      </c>
      <c r="C18" s="1" t="s">
        <v>76</v>
      </c>
      <c r="D18" s="1" t="str">
        <f t="shared" si="1"/>
        <v>N/A</v>
      </c>
      <c r="F18" s="11" t="str">
        <f t="shared" si="3"/>
        <v>Kitten</v>
      </c>
      <c r="G18" s="1" t="s">
        <v>76</v>
      </c>
      <c r="H18" s="2" t="str">
        <f t="shared" si="4"/>
        <v>Unknown</v>
      </c>
      <c r="I18" s="3" t="str">
        <f t="shared" si="5"/>
        <v>Unknown</v>
      </c>
      <c r="J18" s="1" t="s">
        <v>76</v>
      </c>
      <c r="K18" s="1" t="s">
        <v>76</v>
      </c>
      <c r="L18" s="1" t="s">
        <v>76</v>
      </c>
      <c r="M18" s="2">
        <f t="shared" si="15"/>
        <v>0</v>
      </c>
      <c r="N18" s="1" t="s">
        <v>76</v>
      </c>
      <c r="O18" s="1" t="str">
        <f t="shared" si="7"/>
        <v>Unknown</v>
      </c>
      <c r="P18" s="2" t="str">
        <f t="shared" si="8"/>
        <v>Unknown</v>
      </c>
      <c r="Q18" s="1" t="s">
        <v>76</v>
      </c>
      <c r="R18" s="2" t="str">
        <f t="shared" si="9"/>
        <v>N/A</v>
      </c>
      <c r="S18" s="1" t="s">
        <v>26</v>
      </c>
      <c r="T18" s="1" t="str">
        <f t="shared" si="10"/>
        <v>green</v>
      </c>
      <c r="U18" s="2" t="str">
        <f t="shared" si="11"/>
        <v>Green</v>
      </c>
      <c r="V18" s="1" t="b">
        <v>0</v>
      </c>
      <c r="W18" s="1" t="str">
        <f t="shared" si="12"/>
        <v>No</v>
      </c>
      <c r="X18" s="1" t="s">
        <v>22</v>
      </c>
      <c r="Y18" s="1" t="str">
        <f t="shared" si="13"/>
        <v>wet</v>
      </c>
      <c r="Z18" s="2" t="str">
        <f t="shared" si="14"/>
        <v>Wet</v>
      </c>
      <c r="AA18" s="1">
        <v>48</v>
      </c>
      <c r="AB18" s="1">
        <v>14</v>
      </c>
      <c r="AC18" s="1" t="s">
        <v>51</v>
      </c>
      <c r="AD18" s="2" t="str">
        <f>PROPER(AC18)</f>
        <v>Unknown</v>
      </c>
      <c r="AE18" s="1">
        <v>47.218370999999998</v>
      </c>
      <c r="AF18" s="1">
        <v>-1.5536209999999999</v>
      </c>
    </row>
    <row r="19" spans="1:32" x14ac:dyDescent="0.25">
      <c r="A19" s="1" t="s">
        <v>76</v>
      </c>
      <c r="B19" s="1">
        <v>0.92</v>
      </c>
      <c r="C19" s="1">
        <v>11</v>
      </c>
      <c r="D19" s="1">
        <f t="shared" si="1"/>
        <v>11</v>
      </c>
      <c r="E19" s="2">
        <f t="shared" si="2"/>
        <v>11</v>
      </c>
      <c r="F19" s="11" t="str">
        <f t="shared" si="3"/>
        <v>Kitten</v>
      </c>
      <c r="G19" s="1" t="s">
        <v>18</v>
      </c>
      <c r="H19" s="2" t="str">
        <f t="shared" si="4"/>
        <v>female</v>
      </c>
      <c r="I19" s="3" t="str">
        <f t="shared" si="5"/>
        <v>Female</v>
      </c>
      <c r="J19" s="1" t="b">
        <v>1</v>
      </c>
      <c r="K19" s="1">
        <v>31</v>
      </c>
      <c r="L19" s="1">
        <v>3.9</v>
      </c>
      <c r="M19" s="2">
        <f t="shared" si="15"/>
        <v>3.9</v>
      </c>
      <c r="N19" s="1" t="s">
        <v>19</v>
      </c>
      <c r="O19" s="1" t="str">
        <f t="shared" si="7"/>
        <v>white</v>
      </c>
      <c r="P19" s="2" t="str">
        <f t="shared" si="8"/>
        <v>White</v>
      </c>
      <c r="Q19" s="1" t="s">
        <v>20</v>
      </c>
      <c r="R19" s="2" t="str">
        <f t="shared" si="9"/>
        <v>Solid</v>
      </c>
      <c r="S19" s="1" t="s">
        <v>76</v>
      </c>
      <c r="T19" s="1" t="str">
        <f t="shared" si="10"/>
        <v>Unknown</v>
      </c>
      <c r="U19" s="2" t="str">
        <f t="shared" si="11"/>
        <v>Unknown</v>
      </c>
      <c r="V19" s="1" t="s">
        <v>76</v>
      </c>
      <c r="W19" s="1" t="str">
        <f t="shared" si="12"/>
        <v>No</v>
      </c>
      <c r="X19" s="1" t="s">
        <v>22</v>
      </c>
      <c r="Y19" s="1" t="str">
        <f t="shared" si="13"/>
        <v>wet</v>
      </c>
      <c r="Z19" s="2" t="str">
        <f t="shared" si="14"/>
        <v>Wet</v>
      </c>
      <c r="AA19" s="1">
        <v>55</v>
      </c>
      <c r="AB19" s="1">
        <v>32</v>
      </c>
      <c r="AC19" s="1" t="s">
        <v>51</v>
      </c>
      <c r="AD19" s="2" t="str">
        <f t="shared" si="0"/>
        <v>Unknown</v>
      </c>
      <c r="AE19" s="1">
        <v>44.837789000000001</v>
      </c>
      <c r="AF19" s="1">
        <v>-0.57918000000000003</v>
      </c>
    </row>
    <row r="20" spans="1:32" x14ac:dyDescent="0.25">
      <c r="A20" s="1" t="s">
        <v>17</v>
      </c>
      <c r="B20" s="1">
        <v>-1</v>
      </c>
      <c r="C20" s="1">
        <v>-12</v>
      </c>
      <c r="D20" s="1">
        <f t="shared" si="1"/>
        <v>-12</v>
      </c>
      <c r="E20" s="2">
        <v>12</v>
      </c>
      <c r="F20" s="11" t="str">
        <f t="shared" si="3"/>
        <v>Kitten</v>
      </c>
      <c r="G20" s="1" t="s">
        <v>24</v>
      </c>
      <c r="H20" s="2" t="str">
        <f t="shared" si="4"/>
        <v>male</v>
      </c>
      <c r="I20" s="3" t="str">
        <f t="shared" si="5"/>
        <v>Male</v>
      </c>
      <c r="J20" s="1" t="s">
        <v>76</v>
      </c>
      <c r="K20" s="1">
        <v>31</v>
      </c>
      <c r="L20" s="1">
        <v>3.5</v>
      </c>
      <c r="M20" s="2">
        <f t="shared" si="15"/>
        <v>3.5</v>
      </c>
      <c r="N20" s="1" t="s">
        <v>19</v>
      </c>
      <c r="O20" s="1" t="str">
        <f t="shared" si="7"/>
        <v>white</v>
      </c>
      <c r="P20" s="2" t="str">
        <f t="shared" si="8"/>
        <v>White</v>
      </c>
      <c r="Q20" s="1" t="s">
        <v>20</v>
      </c>
      <c r="R20" s="2" t="str">
        <f t="shared" si="9"/>
        <v>Solid</v>
      </c>
      <c r="S20" s="1" t="s">
        <v>21</v>
      </c>
      <c r="T20" s="1" t="str">
        <f t="shared" si="10"/>
        <v>blue</v>
      </c>
      <c r="U20" s="2" t="str">
        <f t="shared" si="11"/>
        <v>Blue</v>
      </c>
      <c r="V20" s="1" t="b">
        <v>1</v>
      </c>
      <c r="W20" s="1" t="str">
        <f t="shared" si="12"/>
        <v>Yes</v>
      </c>
      <c r="X20" s="1" t="s">
        <v>22</v>
      </c>
      <c r="Y20" s="1" t="str">
        <f t="shared" si="13"/>
        <v>wet</v>
      </c>
      <c r="Z20" s="2" t="str">
        <f t="shared" si="14"/>
        <v>Wet</v>
      </c>
      <c r="AA20" s="1">
        <v>42</v>
      </c>
      <c r="AB20" s="1">
        <v>14</v>
      </c>
      <c r="AC20" s="1" t="s">
        <v>51</v>
      </c>
      <c r="AD20" s="2" t="str">
        <f t="shared" si="0"/>
        <v>Unknown</v>
      </c>
      <c r="AE20" s="1">
        <v>43.296481999999997</v>
      </c>
      <c r="AF20" s="1">
        <v>5.3697800000000004</v>
      </c>
    </row>
    <row r="21" spans="1:32" x14ac:dyDescent="0.25">
      <c r="A21" s="1" t="s">
        <v>17</v>
      </c>
      <c r="B21" s="1">
        <v>1</v>
      </c>
      <c r="C21" s="1">
        <v>12</v>
      </c>
      <c r="D21" s="1">
        <f t="shared" si="1"/>
        <v>12</v>
      </c>
      <c r="E21" s="2">
        <f t="shared" si="2"/>
        <v>12</v>
      </c>
      <c r="F21" s="11" t="str">
        <f t="shared" si="3"/>
        <v>Kitten</v>
      </c>
      <c r="G21" s="1" t="s">
        <v>24</v>
      </c>
      <c r="H21" s="2" t="str">
        <f t="shared" si="4"/>
        <v>male</v>
      </c>
      <c r="I21" s="3" t="str">
        <f t="shared" si="5"/>
        <v>Male</v>
      </c>
      <c r="J21" s="1" t="s">
        <v>76</v>
      </c>
      <c r="K21" s="1">
        <v>35</v>
      </c>
      <c r="L21" s="1">
        <v>3.9</v>
      </c>
      <c r="M21" s="2">
        <f t="shared" si="15"/>
        <v>3.9</v>
      </c>
      <c r="N21" s="1" t="s">
        <v>19</v>
      </c>
      <c r="O21" s="1" t="str">
        <f t="shared" si="7"/>
        <v>white</v>
      </c>
      <c r="P21" s="2" t="str">
        <f t="shared" si="8"/>
        <v>White</v>
      </c>
      <c r="Q21" s="1" t="s">
        <v>20</v>
      </c>
      <c r="R21" s="2" t="str">
        <f t="shared" si="9"/>
        <v>Solid</v>
      </c>
      <c r="S21" s="1" t="s">
        <v>33</v>
      </c>
      <c r="T21" s="1" t="str">
        <f t="shared" si="10"/>
        <v>amber</v>
      </c>
      <c r="U21" s="2" t="str">
        <f t="shared" si="11"/>
        <v>Amber</v>
      </c>
      <c r="V21" s="1" t="b">
        <v>0</v>
      </c>
      <c r="W21" s="1" t="str">
        <f t="shared" si="12"/>
        <v>No</v>
      </c>
      <c r="X21" s="1" t="s">
        <v>22</v>
      </c>
      <c r="Y21" s="1" t="str">
        <f t="shared" si="13"/>
        <v>wet</v>
      </c>
      <c r="Z21" s="2" t="str">
        <f t="shared" si="14"/>
        <v>Wet</v>
      </c>
      <c r="AA21" s="1">
        <v>41</v>
      </c>
      <c r="AB21" s="1">
        <v>17</v>
      </c>
      <c r="AC21" s="1" t="s">
        <v>51</v>
      </c>
      <c r="AD21" s="2" t="str">
        <f t="shared" si="0"/>
        <v>Unknown</v>
      </c>
      <c r="AE21" s="1">
        <v>45.763420000000004</v>
      </c>
      <c r="AF21" s="1">
        <v>4.8342770000000002</v>
      </c>
    </row>
    <row r="22" spans="1:32" x14ac:dyDescent="0.25">
      <c r="A22" s="1" t="s">
        <v>17</v>
      </c>
      <c r="B22" s="1">
        <v>4.33</v>
      </c>
      <c r="C22" s="1" t="s">
        <v>76</v>
      </c>
      <c r="D22" s="1" t="str">
        <f t="shared" si="1"/>
        <v>N/A</v>
      </c>
      <c r="F22" s="11" t="str">
        <f t="shared" si="3"/>
        <v>Kitten</v>
      </c>
      <c r="G22" s="1" t="s">
        <v>24</v>
      </c>
      <c r="H22" s="2" t="str">
        <f t="shared" si="4"/>
        <v>male</v>
      </c>
      <c r="I22" s="3" t="str">
        <f t="shared" si="5"/>
        <v>Male</v>
      </c>
      <c r="J22" s="1" t="s">
        <v>76</v>
      </c>
      <c r="K22" s="1">
        <v>25</v>
      </c>
      <c r="L22" s="1">
        <v>4</v>
      </c>
      <c r="M22" s="2">
        <f t="shared" si="15"/>
        <v>4</v>
      </c>
      <c r="N22" s="1" t="s">
        <v>19</v>
      </c>
      <c r="O22" s="1" t="str">
        <f t="shared" si="7"/>
        <v>white</v>
      </c>
      <c r="P22" s="2" t="str">
        <f t="shared" si="8"/>
        <v>White</v>
      </c>
      <c r="Q22" s="1" t="s">
        <v>20</v>
      </c>
      <c r="R22" s="2" t="str">
        <f t="shared" si="9"/>
        <v>Solid</v>
      </c>
      <c r="S22" s="1" t="s">
        <v>21</v>
      </c>
      <c r="T22" s="1" t="str">
        <f t="shared" si="10"/>
        <v>blue</v>
      </c>
      <c r="U22" s="2" t="str">
        <f t="shared" si="11"/>
        <v>Blue</v>
      </c>
      <c r="V22" s="1" t="b">
        <v>0</v>
      </c>
      <c r="W22" s="1" t="str">
        <f t="shared" si="12"/>
        <v>No</v>
      </c>
      <c r="X22" s="1" t="s">
        <v>37</v>
      </c>
      <c r="Y22" s="1" t="str">
        <f t="shared" si="13"/>
        <v>dry</v>
      </c>
      <c r="Z22" s="2" t="str">
        <f t="shared" si="14"/>
        <v>Dry</v>
      </c>
      <c r="AA22" s="1">
        <v>36</v>
      </c>
      <c r="AB22" s="1">
        <v>14</v>
      </c>
      <c r="AC22" s="1" t="s">
        <v>23</v>
      </c>
      <c r="AD22" s="2" t="str">
        <f t="shared" si="0"/>
        <v>France</v>
      </c>
      <c r="AE22" s="1">
        <v>44.837789000000001</v>
      </c>
      <c r="AF22" s="1">
        <v>-0.57918000000000003</v>
      </c>
    </row>
    <row r="23" spans="1:32" x14ac:dyDescent="0.25">
      <c r="A23" s="1" t="s">
        <v>38</v>
      </c>
      <c r="B23" s="1">
        <v>1.17</v>
      </c>
      <c r="C23" s="1" t="s">
        <v>76</v>
      </c>
      <c r="D23" s="1" t="str">
        <f t="shared" si="1"/>
        <v>N/A</v>
      </c>
      <c r="F23" s="11" t="str">
        <f t="shared" si="3"/>
        <v>Kitten</v>
      </c>
      <c r="G23" s="1" t="s">
        <v>18</v>
      </c>
      <c r="H23" s="2" t="str">
        <f t="shared" si="4"/>
        <v>female</v>
      </c>
      <c r="I23" s="3" t="str">
        <f t="shared" si="5"/>
        <v>Female</v>
      </c>
      <c r="J23" s="1" t="s">
        <v>76</v>
      </c>
      <c r="K23" s="1">
        <v>34</v>
      </c>
      <c r="L23" s="1">
        <v>3.8</v>
      </c>
      <c r="M23" s="2">
        <f t="shared" si="15"/>
        <v>3.8</v>
      </c>
      <c r="N23" s="1" t="s">
        <v>19</v>
      </c>
      <c r="O23" s="1" t="str">
        <f t="shared" si="7"/>
        <v>white</v>
      </c>
      <c r="P23" s="2" t="str">
        <f t="shared" si="8"/>
        <v>White</v>
      </c>
      <c r="Q23" s="1" t="s">
        <v>20</v>
      </c>
      <c r="R23" s="2" t="str">
        <f t="shared" si="9"/>
        <v>Solid</v>
      </c>
      <c r="S23" s="1" t="s">
        <v>21</v>
      </c>
      <c r="T23" s="1" t="str">
        <f t="shared" si="10"/>
        <v>blue</v>
      </c>
      <c r="U23" s="2" t="str">
        <f t="shared" si="11"/>
        <v>Blue</v>
      </c>
      <c r="V23" s="1" t="b">
        <v>1</v>
      </c>
      <c r="W23" s="1" t="str">
        <f t="shared" si="12"/>
        <v>Yes</v>
      </c>
      <c r="X23" s="1" t="s">
        <v>22</v>
      </c>
      <c r="Y23" s="1" t="str">
        <f t="shared" si="13"/>
        <v>wet</v>
      </c>
      <c r="Z23" s="2" t="str">
        <f t="shared" si="14"/>
        <v>Wet</v>
      </c>
      <c r="AA23" s="1">
        <v>23</v>
      </c>
      <c r="AB23" s="1">
        <v>17</v>
      </c>
      <c r="AC23" s="1" t="s">
        <v>23</v>
      </c>
      <c r="AD23" s="2" t="str">
        <f t="shared" si="0"/>
        <v>France</v>
      </c>
      <c r="AE23" s="1">
        <v>48.864716000000001</v>
      </c>
      <c r="AF23" s="1">
        <v>2.3490139999999999</v>
      </c>
    </row>
    <row r="24" spans="1:32" x14ac:dyDescent="0.25">
      <c r="A24" s="1" t="s">
        <v>28</v>
      </c>
      <c r="B24" s="1">
        <v>3</v>
      </c>
      <c r="C24" s="1" t="s">
        <v>76</v>
      </c>
      <c r="D24" s="1" t="str">
        <f t="shared" si="1"/>
        <v>N/A</v>
      </c>
      <c r="F24" s="11" t="str">
        <f t="shared" si="3"/>
        <v>Kitten</v>
      </c>
      <c r="G24" s="1" t="s">
        <v>24</v>
      </c>
      <c r="H24" s="2" t="str">
        <f t="shared" si="4"/>
        <v>male</v>
      </c>
      <c r="I24" s="3" t="str">
        <f t="shared" si="5"/>
        <v>Male</v>
      </c>
      <c r="J24" s="1" t="b">
        <v>1</v>
      </c>
      <c r="K24" s="1">
        <v>38</v>
      </c>
      <c r="L24" s="1">
        <v>5</v>
      </c>
      <c r="M24" s="2">
        <f t="shared" si="15"/>
        <v>5</v>
      </c>
      <c r="N24" s="1" t="s">
        <v>19</v>
      </c>
      <c r="O24" s="1" t="str">
        <f t="shared" si="7"/>
        <v>white</v>
      </c>
      <c r="P24" s="2" t="str">
        <f t="shared" si="8"/>
        <v>White</v>
      </c>
      <c r="Q24" s="1" t="s">
        <v>20</v>
      </c>
      <c r="R24" s="2" t="str">
        <f t="shared" si="9"/>
        <v>Solid</v>
      </c>
      <c r="S24" s="1" t="s">
        <v>33</v>
      </c>
      <c r="T24" s="1" t="str">
        <f t="shared" si="10"/>
        <v>amber</v>
      </c>
      <c r="U24" s="2" t="str">
        <f t="shared" si="11"/>
        <v>Amber</v>
      </c>
      <c r="V24" s="1" t="b">
        <v>0</v>
      </c>
      <c r="W24" s="1" t="str">
        <f t="shared" si="12"/>
        <v>No</v>
      </c>
      <c r="X24" s="1" t="s">
        <v>22</v>
      </c>
      <c r="Y24" s="1" t="str">
        <f t="shared" si="13"/>
        <v>wet</v>
      </c>
      <c r="Z24" s="2" t="str">
        <f t="shared" si="14"/>
        <v>Wet</v>
      </c>
      <c r="AA24" s="1">
        <v>16</v>
      </c>
      <c r="AB24" s="1">
        <v>14</v>
      </c>
      <c r="AC24" s="1" t="s">
        <v>23</v>
      </c>
      <c r="AD24" s="2" t="str">
        <f t="shared" si="0"/>
        <v>France</v>
      </c>
      <c r="AE24" s="1">
        <v>43.296481999999997</v>
      </c>
      <c r="AF24" s="1">
        <v>5.3697800000000004</v>
      </c>
    </row>
    <row r="25" spans="1:32" x14ac:dyDescent="0.25">
      <c r="A25" s="1" t="s">
        <v>28</v>
      </c>
      <c r="B25" s="1">
        <v>1.17</v>
      </c>
      <c r="C25" s="1" t="s">
        <v>76</v>
      </c>
      <c r="D25" s="1" t="str">
        <f t="shared" si="1"/>
        <v>N/A</v>
      </c>
      <c r="F25" s="11" t="str">
        <f t="shared" si="3"/>
        <v>Kitten</v>
      </c>
      <c r="G25" s="1" t="s">
        <v>18</v>
      </c>
      <c r="H25" s="2" t="str">
        <f t="shared" si="4"/>
        <v>female</v>
      </c>
      <c r="I25" s="3" t="str">
        <f t="shared" si="5"/>
        <v>Female</v>
      </c>
      <c r="J25" s="1" t="b">
        <v>1</v>
      </c>
      <c r="K25" s="1">
        <v>25</v>
      </c>
      <c r="L25" s="1">
        <v>3</v>
      </c>
      <c r="M25" s="2">
        <f t="shared" si="15"/>
        <v>3</v>
      </c>
      <c r="N25" s="1" t="s">
        <v>19</v>
      </c>
      <c r="O25" s="1" t="str">
        <f t="shared" si="7"/>
        <v>white</v>
      </c>
      <c r="P25" s="2" t="str">
        <f t="shared" si="8"/>
        <v>White</v>
      </c>
      <c r="Q25" s="1" t="s">
        <v>20</v>
      </c>
      <c r="R25" s="2" t="str">
        <f t="shared" si="9"/>
        <v>Solid</v>
      </c>
      <c r="S25" s="1" t="s">
        <v>33</v>
      </c>
      <c r="T25" s="1" t="str">
        <f t="shared" si="10"/>
        <v>amber</v>
      </c>
      <c r="U25" s="2" t="str">
        <f t="shared" si="11"/>
        <v>Amber</v>
      </c>
      <c r="V25" s="1" t="b">
        <v>0</v>
      </c>
      <c r="W25" s="1" t="str">
        <f t="shared" si="12"/>
        <v>No</v>
      </c>
      <c r="X25" s="1" t="s">
        <v>22</v>
      </c>
      <c r="Y25" s="1" t="str">
        <f t="shared" si="13"/>
        <v>wet</v>
      </c>
      <c r="Z25" s="2" t="str">
        <f t="shared" si="14"/>
        <v>Wet</v>
      </c>
      <c r="AA25" s="1">
        <v>19</v>
      </c>
      <c r="AB25" s="1">
        <v>17</v>
      </c>
      <c r="AC25" s="1" t="s">
        <v>23</v>
      </c>
      <c r="AD25" s="2" t="str">
        <f t="shared" si="0"/>
        <v>France</v>
      </c>
      <c r="AE25" s="1">
        <v>45.763420000000004</v>
      </c>
      <c r="AF25" s="1">
        <v>4.8342770000000002</v>
      </c>
    </row>
    <row r="26" spans="1:32" x14ac:dyDescent="0.25">
      <c r="A26" s="1" t="s">
        <v>17</v>
      </c>
      <c r="B26" s="1">
        <v>4</v>
      </c>
      <c r="C26" s="1" t="s">
        <v>76</v>
      </c>
      <c r="D26" s="1" t="str">
        <f t="shared" si="1"/>
        <v>N/A</v>
      </c>
      <c r="F26" s="11" t="str">
        <f t="shared" si="3"/>
        <v>Kitten</v>
      </c>
      <c r="G26" s="1" t="s">
        <v>24</v>
      </c>
      <c r="H26" s="2" t="str">
        <f t="shared" si="4"/>
        <v>male</v>
      </c>
      <c r="I26" s="3" t="str">
        <f t="shared" si="5"/>
        <v>Male</v>
      </c>
      <c r="J26" s="1" t="b">
        <v>1</v>
      </c>
      <c r="K26" s="1">
        <v>39</v>
      </c>
      <c r="L26" s="1">
        <v>4.5999999999999996</v>
      </c>
      <c r="M26" s="2">
        <f t="shared" si="15"/>
        <v>4.5999999999999996</v>
      </c>
      <c r="N26" s="1" t="s">
        <v>19</v>
      </c>
      <c r="O26" s="1" t="str">
        <f t="shared" si="7"/>
        <v>white</v>
      </c>
      <c r="P26" s="2" t="str">
        <f t="shared" si="8"/>
        <v>White</v>
      </c>
      <c r="Q26" s="1" t="s">
        <v>29</v>
      </c>
      <c r="R26" s="2" t="str">
        <f t="shared" si="9"/>
        <v>Dirty</v>
      </c>
      <c r="S26" s="1" t="s">
        <v>35</v>
      </c>
      <c r="T26" s="1" t="str">
        <f t="shared" si="10"/>
        <v>Unknown</v>
      </c>
      <c r="U26" s="2" t="str">
        <f t="shared" si="11"/>
        <v>Unknown</v>
      </c>
      <c r="V26" s="1" t="b">
        <v>0</v>
      </c>
      <c r="W26" s="1" t="str">
        <f t="shared" si="12"/>
        <v>No</v>
      </c>
      <c r="X26" s="1" t="s">
        <v>22</v>
      </c>
      <c r="Y26" s="1" t="str">
        <f t="shared" si="13"/>
        <v>wet</v>
      </c>
      <c r="Z26" s="2" t="str">
        <f t="shared" si="14"/>
        <v>Wet</v>
      </c>
      <c r="AA26" s="1">
        <v>33</v>
      </c>
      <c r="AB26" s="1">
        <v>14</v>
      </c>
      <c r="AC26" s="1" t="s">
        <v>23</v>
      </c>
      <c r="AD26" s="2" t="str">
        <f>PROPER(AC26)</f>
        <v>France</v>
      </c>
      <c r="AE26" s="1">
        <v>45.763420000000004</v>
      </c>
      <c r="AF26" s="1">
        <v>4.8342770000000002</v>
      </c>
    </row>
    <row r="27" spans="1:32" x14ac:dyDescent="0.25">
      <c r="A27" s="1" t="s">
        <v>17</v>
      </c>
      <c r="B27" s="1">
        <v>5.83</v>
      </c>
      <c r="C27" s="1" t="s">
        <v>76</v>
      </c>
      <c r="D27" s="1" t="str">
        <f t="shared" si="1"/>
        <v>N/A</v>
      </c>
      <c r="F27" s="11" t="str">
        <f t="shared" si="3"/>
        <v>Kitten</v>
      </c>
      <c r="G27" s="1" t="s">
        <v>24</v>
      </c>
      <c r="H27" s="2" t="str">
        <f t="shared" si="4"/>
        <v>male</v>
      </c>
      <c r="I27" s="3" t="str">
        <f t="shared" si="5"/>
        <v>Male</v>
      </c>
      <c r="J27" s="1" t="b">
        <v>1</v>
      </c>
      <c r="K27" s="1">
        <v>37</v>
      </c>
      <c r="L27" s="1">
        <v>4.5999999999999996</v>
      </c>
      <c r="M27" s="2">
        <f t="shared" si="15"/>
        <v>4.5999999999999996</v>
      </c>
      <c r="N27" s="1" t="s">
        <v>36</v>
      </c>
      <c r="O27" s="1" t="str">
        <f t="shared" si="7"/>
        <v>black</v>
      </c>
      <c r="P27" s="2" t="str">
        <f t="shared" si="8"/>
        <v>Black</v>
      </c>
      <c r="Q27" s="1" t="s">
        <v>20</v>
      </c>
      <c r="R27" s="2" t="str">
        <f t="shared" si="9"/>
        <v>Solid</v>
      </c>
      <c r="S27" s="1" t="s">
        <v>26</v>
      </c>
      <c r="T27" s="1" t="str">
        <f t="shared" si="10"/>
        <v>green</v>
      </c>
      <c r="U27" s="2" t="str">
        <f t="shared" si="11"/>
        <v>Green</v>
      </c>
      <c r="V27" s="1" t="b">
        <v>1</v>
      </c>
      <c r="W27" s="1" t="str">
        <f t="shared" si="12"/>
        <v>Yes</v>
      </c>
      <c r="X27" s="1" t="s">
        <v>37</v>
      </c>
      <c r="Y27" s="1" t="str">
        <f t="shared" si="13"/>
        <v>dry</v>
      </c>
      <c r="Z27" s="2" t="str">
        <f t="shared" si="14"/>
        <v>Dry</v>
      </c>
      <c r="AA27" s="1">
        <v>9</v>
      </c>
      <c r="AB27" s="1">
        <v>16</v>
      </c>
      <c r="AC27" s="1" t="s">
        <v>23</v>
      </c>
      <c r="AD27" s="2" t="str">
        <f t="shared" si="0"/>
        <v>France</v>
      </c>
      <c r="AE27" s="1">
        <v>48.864716000000001</v>
      </c>
      <c r="AF27" s="1">
        <v>2.3490139999999999</v>
      </c>
    </row>
    <row r="28" spans="1:32" x14ac:dyDescent="0.25">
      <c r="A28" s="1" t="s">
        <v>17</v>
      </c>
      <c r="B28" s="1">
        <v>1.25</v>
      </c>
      <c r="C28" s="1">
        <v>15</v>
      </c>
      <c r="D28" s="1">
        <f t="shared" si="1"/>
        <v>15</v>
      </c>
      <c r="E28" s="2">
        <f t="shared" si="2"/>
        <v>15</v>
      </c>
      <c r="F28" s="11" t="str">
        <f t="shared" si="3"/>
        <v>Young</v>
      </c>
      <c r="G28" s="1" t="s">
        <v>18</v>
      </c>
      <c r="H28" s="2" t="str">
        <f t="shared" si="4"/>
        <v>female</v>
      </c>
      <c r="I28" s="3" t="str">
        <f t="shared" si="5"/>
        <v>Female</v>
      </c>
      <c r="J28" s="1" t="b">
        <v>1</v>
      </c>
      <c r="K28" s="1">
        <v>26</v>
      </c>
      <c r="L28" s="1">
        <v>3.4</v>
      </c>
      <c r="M28" s="2">
        <f t="shared" si="15"/>
        <v>3.4</v>
      </c>
      <c r="N28" s="1" t="s">
        <v>19</v>
      </c>
      <c r="O28" s="1" t="str">
        <f t="shared" si="7"/>
        <v>white</v>
      </c>
      <c r="P28" s="2" t="str">
        <f t="shared" si="8"/>
        <v>White</v>
      </c>
      <c r="Q28" s="1" t="s">
        <v>20</v>
      </c>
      <c r="R28" s="2" t="str">
        <f t="shared" si="9"/>
        <v>Solid</v>
      </c>
      <c r="S28" s="1" t="s">
        <v>21</v>
      </c>
      <c r="T28" s="1" t="str">
        <f t="shared" si="10"/>
        <v>blue</v>
      </c>
      <c r="U28" s="2" t="str">
        <f t="shared" si="11"/>
        <v>Blue</v>
      </c>
      <c r="V28" s="1" t="b">
        <v>0</v>
      </c>
      <c r="W28" s="1" t="str">
        <f t="shared" si="12"/>
        <v>No</v>
      </c>
      <c r="X28" s="1" t="s">
        <v>22</v>
      </c>
      <c r="Y28" s="1" t="str">
        <f t="shared" si="13"/>
        <v>wet</v>
      </c>
      <c r="Z28" s="2" t="str">
        <f t="shared" si="14"/>
        <v>Wet</v>
      </c>
      <c r="AA28" s="1">
        <v>25</v>
      </c>
      <c r="AB28" s="1">
        <v>15</v>
      </c>
      <c r="AC28" s="1" t="s">
        <v>23</v>
      </c>
      <c r="AD28" s="2" t="str">
        <f t="shared" si="0"/>
        <v>France</v>
      </c>
      <c r="AE28" s="1">
        <v>43.296481999999997</v>
      </c>
      <c r="AF28" s="1">
        <v>5.3697800000000004</v>
      </c>
    </row>
    <row r="29" spans="1:32" x14ac:dyDescent="0.25">
      <c r="A29" s="1" t="s">
        <v>17</v>
      </c>
      <c r="B29" s="1">
        <v>5.33</v>
      </c>
      <c r="C29" s="1">
        <v>64</v>
      </c>
      <c r="D29" s="1">
        <f t="shared" si="1"/>
        <v>64</v>
      </c>
      <c r="E29" s="2">
        <f t="shared" si="2"/>
        <v>64</v>
      </c>
      <c r="F29" s="11" t="str">
        <f t="shared" si="3"/>
        <v>Senior</v>
      </c>
      <c r="G29" s="1" t="s">
        <v>24</v>
      </c>
      <c r="H29" s="2" t="str">
        <f t="shared" si="4"/>
        <v>male</v>
      </c>
      <c r="I29" s="3" t="str">
        <f t="shared" si="5"/>
        <v>Male</v>
      </c>
      <c r="J29" s="1" t="b">
        <v>1</v>
      </c>
      <c r="K29" s="1">
        <v>44</v>
      </c>
      <c r="L29" s="1">
        <v>4.5999999999999996</v>
      </c>
      <c r="M29" s="2">
        <f t="shared" si="15"/>
        <v>4.5999999999999996</v>
      </c>
      <c r="N29" s="1" t="s">
        <v>19</v>
      </c>
      <c r="O29" s="1" t="str">
        <f t="shared" si="7"/>
        <v>white</v>
      </c>
      <c r="P29" s="2" t="str">
        <f t="shared" si="8"/>
        <v>White</v>
      </c>
      <c r="Q29" s="1" t="s">
        <v>20</v>
      </c>
      <c r="R29" s="2" t="str">
        <f t="shared" si="9"/>
        <v>Solid</v>
      </c>
      <c r="S29" s="1" t="s">
        <v>21</v>
      </c>
      <c r="T29" s="1" t="str">
        <f t="shared" si="10"/>
        <v>blue</v>
      </c>
      <c r="U29" s="2" t="str">
        <f t="shared" si="11"/>
        <v>Blue</v>
      </c>
      <c r="V29" s="1" t="b">
        <v>1</v>
      </c>
      <c r="W29" s="1" t="str">
        <f t="shared" si="12"/>
        <v>Yes</v>
      </c>
      <c r="X29" s="1" t="s">
        <v>22</v>
      </c>
      <c r="Y29" s="1" t="str">
        <f t="shared" si="13"/>
        <v>wet</v>
      </c>
      <c r="Z29" s="2" t="str">
        <f t="shared" si="14"/>
        <v>Wet</v>
      </c>
      <c r="AA29" s="1">
        <v>20</v>
      </c>
      <c r="AB29" s="1">
        <v>16</v>
      </c>
      <c r="AC29" s="1" t="s">
        <v>23</v>
      </c>
      <c r="AD29" s="2" t="str">
        <f t="shared" si="0"/>
        <v>France</v>
      </c>
      <c r="AE29" s="1">
        <v>44.837789000000001</v>
      </c>
      <c r="AF29" s="1">
        <v>-0.57918000000000003</v>
      </c>
    </row>
    <row r="30" spans="1:32" x14ac:dyDescent="0.25">
      <c r="A30" s="1" t="s">
        <v>17</v>
      </c>
      <c r="B30" s="1" t="s">
        <v>76</v>
      </c>
      <c r="C30" s="1">
        <v>15</v>
      </c>
      <c r="D30" s="1">
        <f t="shared" si="1"/>
        <v>15</v>
      </c>
      <c r="E30" s="2">
        <f t="shared" si="2"/>
        <v>15</v>
      </c>
      <c r="F30" s="11" t="str">
        <f t="shared" si="3"/>
        <v>Young</v>
      </c>
      <c r="G30" s="1" t="s">
        <v>24</v>
      </c>
      <c r="H30" s="2" t="str">
        <f t="shared" si="4"/>
        <v>male</v>
      </c>
      <c r="I30" s="3" t="str">
        <f t="shared" si="5"/>
        <v>Male</v>
      </c>
      <c r="J30" s="1" t="b">
        <v>1</v>
      </c>
      <c r="K30" s="1">
        <v>40</v>
      </c>
      <c r="L30" s="1">
        <v>3.8</v>
      </c>
      <c r="M30" s="2">
        <f t="shared" si="15"/>
        <v>3.8</v>
      </c>
      <c r="N30" s="1" t="s">
        <v>30</v>
      </c>
      <c r="O30" s="1" t="str">
        <f t="shared" si="7"/>
        <v>red/cream</v>
      </c>
      <c r="P30" s="2" t="str">
        <f t="shared" si="8"/>
        <v>Red/Cream</v>
      </c>
      <c r="Q30" s="1" t="s">
        <v>31</v>
      </c>
      <c r="R30" s="2" t="str">
        <f t="shared" si="9"/>
        <v>Tabby</v>
      </c>
      <c r="S30" s="1" t="s">
        <v>21</v>
      </c>
      <c r="T30" s="1" t="str">
        <f t="shared" si="10"/>
        <v>blue</v>
      </c>
      <c r="U30" s="2" t="str">
        <f t="shared" si="11"/>
        <v>Blue</v>
      </c>
      <c r="V30" s="1" t="b">
        <v>0</v>
      </c>
      <c r="W30" s="1" t="str">
        <f t="shared" si="12"/>
        <v>No</v>
      </c>
      <c r="X30" s="1" t="s">
        <v>22</v>
      </c>
      <c r="Y30" s="1" t="str">
        <f t="shared" si="13"/>
        <v>wet</v>
      </c>
      <c r="Z30" s="2" t="str">
        <f t="shared" si="14"/>
        <v>Wet</v>
      </c>
      <c r="AA30" s="1">
        <v>35</v>
      </c>
      <c r="AB30" s="1">
        <v>17</v>
      </c>
      <c r="AC30" s="1" t="s">
        <v>23</v>
      </c>
      <c r="AD30" s="2" t="str">
        <f t="shared" si="0"/>
        <v>France</v>
      </c>
      <c r="AE30" s="1">
        <v>45.763420000000004</v>
      </c>
      <c r="AF30" s="1">
        <v>4.8342770000000002</v>
      </c>
    </row>
    <row r="31" spans="1:32" x14ac:dyDescent="0.25">
      <c r="A31" s="1" t="s">
        <v>17</v>
      </c>
      <c r="B31" s="1" t="s">
        <v>76</v>
      </c>
      <c r="C31" s="1">
        <v>59</v>
      </c>
      <c r="D31" s="1">
        <f t="shared" si="1"/>
        <v>59</v>
      </c>
      <c r="E31" s="2">
        <f t="shared" si="2"/>
        <v>59</v>
      </c>
      <c r="F31" s="11" t="str">
        <f t="shared" si="3"/>
        <v>Adult</v>
      </c>
      <c r="G31" s="1" t="s">
        <v>24</v>
      </c>
      <c r="H31" s="2" t="str">
        <f t="shared" si="4"/>
        <v>male</v>
      </c>
      <c r="I31" s="3" t="str">
        <f t="shared" si="5"/>
        <v>Male</v>
      </c>
      <c r="J31" s="1" t="b">
        <v>0</v>
      </c>
      <c r="K31" s="1">
        <v>41</v>
      </c>
      <c r="L31" s="1">
        <v>5</v>
      </c>
      <c r="M31" s="2">
        <f t="shared" si="15"/>
        <v>5</v>
      </c>
      <c r="N31" s="1" t="s">
        <v>36</v>
      </c>
      <c r="O31" s="1" t="str">
        <f t="shared" si="7"/>
        <v>black</v>
      </c>
      <c r="P31" s="2" t="str">
        <f t="shared" si="8"/>
        <v>Black</v>
      </c>
      <c r="Q31" s="1" t="s">
        <v>20</v>
      </c>
      <c r="R31" s="2" t="str">
        <f t="shared" si="9"/>
        <v>Solid</v>
      </c>
      <c r="S31" s="1" t="s">
        <v>26</v>
      </c>
      <c r="T31" s="1" t="str">
        <f t="shared" si="10"/>
        <v>green</v>
      </c>
      <c r="U31" s="2" t="str">
        <f t="shared" si="11"/>
        <v>Green</v>
      </c>
      <c r="V31" s="1" t="b">
        <v>0</v>
      </c>
      <c r="W31" s="1" t="str">
        <f t="shared" si="12"/>
        <v>No</v>
      </c>
      <c r="X31" s="1" t="s">
        <v>37</v>
      </c>
      <c r="Y31" s="1" t="str">
        <f t="shared" si="13"/>
        <v>dry</v>
      </c>
      <c r="Z31" s="2" t="str">
        <f t="shared" si="14"/>
        <v>Dry</v>
      </c>
      <c r="AA31" s="1">
        <v>31</v>
      </c>
      <c r="AB31" s="1">
        <v>14</v>
      </c>
      <c r="AC31" s="1" t="s">
        <v>23</v>
      </c>
      <c r="AD31" s="2" t="str">
        <f t="shared" si="0"/>
        <v>France</v>
      </c>
      <c r="AE31" s="1">
        <v>47.218370999999998</v>
      </c>
      <c r="AF31" s="1">
        <v>-1.5536209999999999</v>
      </c>
    </row>
    <row r="32" spans="1:32" x14ac:dyDescent="0.25">
      <c r="A32" s="1" t="s">
        <v>17</v>
      </c>
      <c r="B32" s="1" t="s">
        <v>76</v>
      </c>
      <c r="C32" s="1">
        <v>18</v>
      </c>
      <c r="D32" s="1">
        <f t="shared" si="1"/>
        <v>18</v>
      </c>
      <c r="E32" s="2">
        <f t="shared" si="2"/>
        <v>18</v>
      </c>
      <c r="F32" s="11" t="str">
        <f t="shared" si="3"/>
        <v>Young</v>
      </c>
      <c r="G32" s="1" t="s">
        <v>24</v>
      </c>
      <c r="H32" s="2" t="str">
        <f t="shared" si="4"/>
        <v>male</v>
      </c>
      <c r="I32" s="3" t="str">
        <f t="shared" si="5"/>
        <v>Male</v>
      </c>
      <c r="J32" s="1" t="b">
        <v>0</v>
      </c>
      <c r="K32" s="1">
        <v>40</v>
      </c>
      <c r="L32" s="1">
        <v>3.6</v>
      </c>
      <c r="M32" s="2">
        <f t="shared" si="15"/>
        <v>3.6</v>
      </c>
      <c r="N32" s="1" t="s">
        <v>19</v>
      </c>
      <c r="O32" s="1" t="str">
        <f t="shared" si="7"/>
        <v>white</v>
      </c>
      <c r="P32" s="2" t="str">
        <f t="shared" si="8"/>
        <v>White</v>
      </c>
      <c r="Q32" s="1" t="s">
        <v>20</v>
      </c>
      <c r="R32" s="2" t="str">
        <f t="shared" si="9"/>
        <v>Solid</v>
      </c>
      <c r="S32" s="1" t="s">
        <v>76</v>
      </c>
      <c r="T32" s="1" t="str">
        <f t="shared" si="10"/>
        <v>Unknown</v>
      </c>
      <c r="U32" s="2" t="str">
        <f t="shared" si="11"/>
        <v>Unknown</v>
      </c>
      <c r="V32" s="1" t="b">
        <v>0</v>
      </c>
      <c r="W32" s="1" t="str">
        <f t="shared" si="12"/>
        <v>No</v>
      </c>
      <c r="X32" s="1" t="s">
        <v>22</v>
      </c>
      <c r="Y32" s="1" t="str">
        <f t="shared" si="13"/>
        <v>wet</v>
      </c>
      <c r="Z32" s="2" t="str">
        <f t="shared" si="14"/>
        <v>Wet</v>
      </c>
      <c r="AA32" s="1">
        <v>27</v>
      </c>
      <c r="AB32" s="1">
        <v>14</v>
      </c>
      <c r="AC32" s="1" t="s">
        <v>23</v>
      </c>
      <c r="AD32" s="2" t="str">
        <f t="shared" si="0"/>
        <v>France</v>
      </c>
      <c r="AE32" s="1">
        <v>43.296481999999997</v>
      </c>
      <c r="AF32" s="1">
        <v>5.3697800000000004</v>
      </c>
    </row>
    <row r="33" spans="1:32" x14ac:dyDescent="0.25">
      <c r="A33" s="1" t="s">
        <v>17</v>
      </c>
      <c r="B33" s="1">
        <v>1.58</v>
      </c>
      <c r="C33" s="1">
        <v>19</v>
      </c>
      <c r="D33" s="1">
        <f t="shared" si="1"/>
        <v>19</v>
      </c>
      <c r="E33" s="2">
        <f t="shared" si="2"/>
        <v>19</v>
      </c>
      <c r="F33" s="11" t="str">
        <f t="shared" si="3"/>
        <v>Young</v>
      </c>
      <c r="G33" s="1" t="s">
        <v>18</v>
      </c>
      <c r="H33" s="2" t="str">
        <f t="shared" si="4"/>
        <v>female</v>
      </c>
      <c r="I33" s="3" t="str">
        <f t="shared" si="5"/>
        <v>Female</v>
      </c>
      <c r="J33" s="1" t="b">
        <v>1</v>
      </c>
      <c r="K33" s="1">
        <v>33</v>
      </c>
      <c r="L33" s="1">
        <v>3.5</v>
      </c>
      <c r="M33" s="2">
        <f t="shared" si="15"/>
        <v>3.5</v>
      </c>
      <c r="N33" s="1" t="s">
        <v>19</v>
      </c>
      <c r="O33" s="1" t="str">
        <f t="shared" si="7"/>
        <v>white</v>
      </c>
      <c r="P33" s="2" t="str">
        <f t="shared" si="8"/>
        <v>White</v>
      </c>
      <c r="Q33" s="1" t="s">
        <v>20</v>
      </c>
      <c r="R33" s="2" t="str">
        <f t="shared" si="9"/>
        <v>Solid</v>
      </c>
      <c r="S33" s="1" t="s">
        <v>76</v>
      </c>
      <c r="T33" s="1" t="str">
        <f t="shared" si="10"/>
        <v>Unknown</v>
      </c>
      <c r="U33" s="2" t="str">
        <f t="shared" si="11"/>
        <v>Unknown</v>
      </c>
      <c r="V33" s="1" t="b">
        <v>0</v>
      </c>
      <c r="W33" s="1" t="str">
        <f t="shared" si="12"/>
        <v>No</v>
      </c>
      <c r="X33" s="1" t="s">
        <v>37</v>
      </c>
      <c r="Y33" s="1" t="str">
        <f t="shared" si="13"/>
        <v>dry</v>
      </c>
      <c r="Z33" s="2" t="str">
        <f t="shared" si="14"/>
        <v>Dry</v>
      </c>
      <c r="AA33" s="1">
        <v>18</v>
      </c>
      <c r="AB33" s="1">
        <v>18</v>
      </c>
      <c r="AC33" s="1" t="s">
        <v>23</v>
      </c>
      <c r="AD33" s="2" t="str">
        <f t="shared" si="0"/>
        <v>France</v>
      </c>
      <c r="AE33" s="1">
        <v>48.864716000000001</v>
      </c>
      <c r="AF33" s="1">
        <v>2.3490139999999999</v>
      </c>
    </row>
    <row r="34" spans="1:32" x14ac:dyDescent="0.25">
      <c r="A34" s="1" t="s">
        <v>17</v>
      </c>
      <c r="B34" s="1">
        <v>1.58</v>
      </c>
      <c r="C34" s="1">
        <v>19</v>
      </c>
      <c r="D34" s="1">
        <f t="shared" si="1"/>
        <v>19</v>
      </c>
      <c r="E34" s="2">
        <f t="shared" si="2"/>
        <v>19</v>
      </c>
      <c r="F34" s="11" t="str">
        <f t="shared" si="3"/>
        <v>Young</v>
      </c>
      <c r="G34" s="1" t="s">
        <v>18</v>
      </c>
      <c r="H34" s="2" t="str">
        <f t="shared" si="4"/>
        <v>female</v>
      </c>
      <c r="I34" s="3" t="str">
        <f t="shared" si="5"/>
        <v>Female</v>
      </c>
      <c r="J34" s="1" t="b">
        <v>1</v>
      </c>
      <c r="K34" s="1">
        <v>33</v>
      </c>
      <c r="L34" s="1">
        <v>3.2</v>
      </c>
      <c r="M34" s="2">
        <f t="shared" si="15"/>
        <v>3.2</v>
      </c>
      <c r="N34" s="1" t="s">
        <v>19</v>
      </c>
      <c r="O34" s="1" t="str">
        <f t="shared" si="7"/>
        <v>white</v>
      </c>
      <c r="P34" s="2" t="str">
        <f t="shared" si="8"/>
        <v>White</v>
      </c>
      <c r="Q34" s="1" t="s">
        <v>20</v>
      </c>
      <c r="R34" s="2" t="str">
        <f t="shared" si="9"/>
        <v>Solid</v>
      </c>
      <c r="S34" s="1" t="s">
        <v>76</v>
      </c>
      <c r="T34" s="1" t="str">
        <f t="shared" si="10"/>
        <v>Unknown</v>
      </c>
      <c r="U34" s="2" t="str">
        <f t="shared" si="11"/>
        <v>Unknown</v>
      </c>
      <c r="V34" s="1" t="b">
        <v>1</v>
      </c>
      <c r="W34" s="1" t="str">
        <f t="shared" si="12"/>
        <v>Yes</v>
      </c>
      <c r="X34" s="1" t="s">
        <v>22</v>
      </c>
      <c r="Y34" s="1" t="str">
        <f t="shared" si="13"/>
        <v>wet</v>
      </c>
      <c r="Z34" s="2" t="str">
        <f t="shared" si="14"/>
        <v>Wet</v>
      </c>
      <c r="AA34" s="1">
        <v>12</v>
      </c>
      <c r="AB34" s="1">
        <v>19</v>
      </c>
      <c r="AC34" s="1" t="s">
        <v>32</v>
      </c>
      <c r="AD34" s="2" t="str">
        <f t="shared" si="0"/>
        <v>France</v>
      </c>
      <c r="AE34" s="1">
        <v>48.864716000000001</v>
      </c>
      <c r="AF34" s="1">
        <v>2.3490139999999999</v>
      </c>
    </row>
    <row r="35" spans="1:32" x14ac:dyDescent="0.25">
      <c r="A35" s="1" t="s">
        <v>17</v>
      </c>
      <c r="B35" s="1">
        <v>4.5</v>
      </c>
      <c r="C35" s="1">
        <v>54</v>
      </c>
      <c r="D35" s="1">
        <f t="shared" si="1"/>
        <v>54</v>
      </c>
      <c r="E35" s="2">
        <f t="shared" si="2"/>
        <v>54</v>
      </c>
      <c r="F35" s="11" t="str">
        <f t="shared" si="3"/>
        <v>Adult</v>
      </c>
      <c r="G35" s="1" t="s">
        <v>24</v>
      </c>
      <c r="H35" s="2" t="str">
        <f t="shared" si="4"/>
        <v>male</v>
      </c>
      <c r="I35" s="3" t="str">
        <f t="shared" si="5"/>
        <v>Male</v>
      </c>
      <c r="J35" s="1" t="b">
        <v>1</v>
      </c>
      <c r="K35" s="1">
        <v>37</v>
      </c>
      <c r="L35" s="1">
        <v>5.6</v>
      </c>
      <c r="M35" s="2">
        <f t="shared" si="15"/>
        <v>5.6</v>
      </c>
      <c r="N35" s="1" t="s">
        <v>19</v>
      </c>
      <c r="O35" s="1" t="str">
        <f t="shared" si="7"/>
        <v>white</v>
      </c>
      <c r="P35" s="2" t="str">
        <f t="shared" si="8"/>
        <v>White</v>
      </c>
      <c r="Q35" s="1" t="s">
        <v>20</v>
      </c>
      <c r="R35" s="2" t="str">
        <f t="shared" si="9"/>
        <v>Solid</v>
      </c>
      <c r="S35" s="1" t="s">
        <v>76</v>
      </c>
      <c r="T35" s="1" t="str">
        <f t="shared" si="10"/>
        <v>Unknown</v>
      </c>
      <c r="U35" s="2" t="str">
        <f t="shared" si="11"/>
        <v>Unknown</v>
      </c>
      <c r="V35" s="1" t="b">
        <v>0</v>
      </c>
      <c r="W35" s="1" t="str">
        <f t="shared" si="12"/>
        <v>No</v>
      </c>
      <c r="X35" s="1" t="s">
        <v>22</v>
      </c>
      <c r="Y35" s="1" t="str">
        <f t="shared" si="13"/>
        <v>wet</v>
      </c>
      <c r="Z35" s="2" t="str">
        <f t="shared" si="14"/>
        <v>Wet</v>
      </c>
      <c r="AA35" s="1">
        <v>9</v>
      </c>
      <c r="AB35" s="1">
        <v>14</v>
      </c>
      <c r="AC35" s="1" t="s">
        <v>23</v>
      </c>
      <c r="AD35" s="2" t="str">
        <f t="shared" si="0"/>
        <v>France</v>
      </c>
      <c r="AE35" s="1">
        <v>47.218370999999998</v>
      </c>
      <c r="AF35" s="1">
        <v>-1.5536209999999999</v>
      </c>
    </row>
    <row r="36" spans="1:32" x14ac:dyDescent="0.25">
      <c r="A36" s="1" t="s">
        <v>17</v>
      </c>
      <c r="B36" s="1">
        <v>4.75</v>
      </c>
      <c r="C36" s="1">
        <v>57</v>
      </c>
      <c r="D36" s="1">
        <f t="shared" si="1"/>
        <v>57</v>
      </c>
      <c r="E36" s="2">
        <f t="shared" si="2"/>
        <v>57</v>
      </c>
      <c r="F36" s="11" t="str">
        <f t="shared" si="3"/>
        <v>Adult</v>
      </c>
      <c r="G36" s="1" t="s">
        <v>76</v>
      </c>
      <c r="H36" s="2" t="str">
        <f t="shared" si="4"/>
        <v>Unknown</v>
      </c>
      <c r="I36" s="3" t="str">
        <f t="shared" si="5"/>
        <v>Unknown</v>
      </c>
      <c r="J36" s="1" t="b">
        <v>0</v>
      </c>
      <c r="K36" s="1">
        <v>41</v>
      </c>
      <c r="L36" s="1">
        <v>4.2</v>
      </c>
      <c r="M36" s="2">
        <f t="shared" si="15"/>
        <v>4.2</v>
      </c>
      <c r="N36" s="1" t="s">
        <v>36</v>
      </c>
      <c r="O36" s="1" t="str">
        <f t="shared" si="7"/>
        <v>black</v>
      </c>
      <c r="P36" s="2" t="str">
        <f t="shared" si="8"/>
        <v>Black</v>
      </c>
      <c r="Q36" s="1" t="s">
        <v>20</v>
      </c>
      <c r="R36" s="2" t="str">
        <f t="shared" si="9"/>
        <v>Solid</v>
      </c>
      <c r="S36" s="1" t="s">
        <v>76</v>
      </c>
      <c r="T36" s="1" t="str">
        <f t="shared" si="10"/>
        <v>Unknown</v>
      </c>
      <c r="U36" s="2" t="str">
        <f t="shared" si="11"/>
        <v>Unknown</v>
      </c>
      <c r="V36" s="1" t="b">
        <v>1</v>
      </c>
      <c r="W36" s="1" t="str">
        <f t="shared" si="12"/>
        <v>Yes</v>
      </c>
      <c r="X36" s="1" t="s">
        <v>37</v>
      </c>
      <c r="Y36" s="1" t="str">
        <f t="shared" si="13"/>
        <v>dry</v>
      </c>
      <c r="Z36" s="2" t="str">
        <f t="shared" si="14"/>
        <v>Dry</v>
      </c>
      <c r="AA36" s="1">
        <v>19</v>
      </c>
      <c r="AB36" s="1">
        <v>14</v>
      </c>
      <c r="AC36" s="1" t="s">
        <v>23</v>
      </c>
      <c r="AD36" s="2" t="str">
        <f t="shared" si="0"/>
        <v>France</v>
      </c>
      <c r="AE36" s="1">
        <v>44.837789000000001</v>
      </c>
      <c r="AF36" s="1">
        <v>-0.57918000000000003</v>
      </c>
    </row>
    <row r="37" spans="1:32" x14ac:dyDescent="0.25">
      <c r="A37" s="1" t="s">
        <v>76</v>
      </c>
      <c r="B37" s="1">
        <v>1.67</v>
      </c>
      <c r="C37" s="1">
        <v>20</v>
      </c>
      <c r="D37" s="1">
        <f t="shared" si="1"/>
        <v>20</v>
      </c>
      <c r="E37" s="2">
        <f t="shared" si="2"/>
        <v>20</v>
      </c>
      <c r="F37" s="11" t="str">
        <f t="shared" si="3"/>
        <v>Young</v>
      </c>
      <c r="G37" s="1" t="s">
        <v>18</v>
      </c>
      <c r="H37" s="2" t="str">
        <f t="shared" si="4"/>
        <v>female</v>
      </c>
      <c r="I37" s="3" t="str">
        <f t="shared" si="5"/>
        <v>Female</v>
      </c>
      <c r="J37" s="1" t="b">
        <v>1</v>
      </c>
      <c r="K37" s="1">
        <v>35</v>
      </c>
      <c r="L37" s="1">
        <v>5</v>
      </c>
      <c r="M37" s="2">
        <f t="shared" si="15"/>
        <v>5</v>
      </c>
      <c r="N37" s="1" t="s">
        <v>19</v>
      </c>
      <c r="O37" s="1" t="str">
        <f t="shared" si="7"/>
        <v>white</v>
      </c>
      <c r="P37" s="2" t="str">
        <f t="shared" si="8"/>
        <v>White</v>
      </c>
      <c r="Q37" s="1" t="s">
        <v>20</v>
      </c>
      <c r="R37" s="2" t="str">
        <f t="shared" si="9"/>
        <v>Solid</v>
      </c>
      <c r="S37" s="1" t="s">
        <v>76</v>
      </c>
      <c r="T37" s="1" t="str">
        <f t="shared" si="10"/>
        <v>Unknown</v>
      </c>
      <c r="U37" s="2" t="str">
        <f t="shared" si="11"/>
        <v>Unknown</v>
      </c>
      <c r="V37" s="1" t="s">
        <v>76</v>
      </c>
      <c r="W37" s="1" t="s">
        <v>76</v>
      </c>
      <c r="X37" s="1" t="s">
        <v>22</v>
      </c>
      <c r="Y37" s="1" t="str">
        <f t="shared" si="13"/>
        <v>wet</v>
      </c>
      <c r="Z37" s="2" t="str">
        <f t="shared" si="14"/>
        <v>Wet</v>
      </c>
      <c r="AA37" s="1">
        <v>10</v>
      </c>
      <c r="AB37" s="1">
        <v>15</v>
      </c>
      <c r="AC37" s="1" t="s">
        <v>23</v>
      </c>
      <c r="AD37" s="2" t="str">
        <f t="shared" si="0"/>
        <v>France</v>
      </c>
      <c r="AE37" s="1">
        <v>45.763420000000004</v>
      </c>
      <c r="AF37" s="1">
        <v>4.8342770000000002</v>
      </c>
    </row>
    <row r="38" spans="1:32" x14ac:dyDescent="0.25">
      <c r="A38" s="1" t="s">
        <v>76</v>
      </c>
      <c r="B38" s="1">
        <v>1.67</v>
      </c>
      <c r="C38" s="1">
        <v>20</v>
      </c>
      <c r="D38" s="1">
        <f t="shared" si="1"/>
        <v>20</v>
      </c>
      <c r="E38" s="2">
        <f t="shared" si="2"/>
        <v>20</v>
      </c>
      <c r="F38" s="11" t="str">
        <f t="shared" si="3"/>
        <v>Young</v>
      </c>
      <c r="G38" s="1" t="s">
        <v>24</v>
      </c>
      <c r="H38" s="2" t="str">
        <f t="shared" si="4"/>
        <v>male</v>
      </c>
      <c r="I38" s="3" t="str">
        <f t="shared" si="5"/>
        <v>Male</v>
      </c>
      <c r="J38" s="1" t="b">
        <v>1</v>
      </c>
      <c r="K38" s="1">
        <v>28</v>
      </c>
      <c r="L38" s="1">
        <v>3.1</v>
      </c>
      <c r="M38" s="2">
        <f t="shared" si="15"/>
        <v>3.1</v>
      </c>
      <c r="N38" s="1" t="s">
        <v>19</v>
      </c>
      <c r="O38" s="1" t="str">
        <f t="shared" si="7"/>
        <v>white</v>
      </c>
      <c r="P38" s="2" t="str">
        <f t="shared" si="8"/>
        <v>White</v>
      </c>
      <c r="Q38" s="1" t="s">
        <v>20</v>
      </c>
      <c r="R38" s="2" t="str">
        <f t="shared" si="9"/>
        <v>Solid</v>
      </c>
      <c r="S38" s="1" t="s">
        <v>76</v>
      </c>
      <c r="T38" s="1" t="str">
        <f t="shared" si="10"/>
        <v>Unknown</v>
      </c>
      <c r="U38" s="2" t="str">
        <f t="shared" si="11"/>
        <v>Unknown</v>
      </c>
      <c r="V38" s="1" t="s">
        <v>76</v>
      </c>
      <c r="W38" s="1" t="s">
        <v>76</v>
      </c>
      <c r="X38" s="1" t="s">
        <v>22</v>
      </c>
      <c r="Y38" s="1" t="str">
        <f t="shared" si="13"/>
        <v>wet</v>
      </c>
      <c r="Z38" s="2" t="str">
        <f t="shared" si="14"/>
        <v>Wet</v>
      </c>
      <c r="AA38" s="1">
        <v>39</v>
      </c>
      <c r="AB38" s="1">
        <v>18</v>
      </c>
      <c r="AC38" s="1" t="s">
        <v>23</v>
      </c>
      <c r="AD38" s="2" t="str">
        <f t="shared" si="0"/>
        <v>France</v>
      </c>
      <c r="AE38" s="1">
        <v>43.296481999999997</v>
      </c>
      <c r="AF38" s="1">
        <v>5.3697800000000004</v>
      </c>
    </row>
    <row r="39" spans="1:32" x14ac:dyDescent="0.25">
      <c r="A39" s="1" t="s">
        <v>76</v>
      </c>
      <c r="B39" s="1">
        <v>1.67</v>
      </c>
      <c r="C39" s="1">
        <v>20</v>
      </c>
      <c r="D39" s="1">
        <f t="shared" si="1"/>
        <v>20</v>
      </c>
      <c r="E39" s="2">
        <f t="shared" si="2"/>
        <v>20</v>
      </c>
      <c r="F39" s="11" t="str">
        <f t="shared" si="3"/>
        <v>Young</v>
      </c>
      <c r="G39" s="1" t="s">
        <v>24</v>
      </c>
      <c r="H39" s="2" t="str">
        <f t="shared" si="4"/>
        <v>male</v>
      </c>
      <c r="I39" s="3" t="str">
        <f t="shared" si="5"/>
        <v>Male</v>
      </c>
      <c r="J39" s="1" t="b">
        <v>0</v>
      </c>
      <c r="K39" s="1">
        <v>36</v>
      </c>
      <c r="L39" s="1">
        <v>3.9</v>
      </c>
      <c r="M39" s="2">
        <f t="shared" si="15"/>
        <v>3.9</v>
      </c>
      <c r="N39" s="1" t="s">
        <v>36</v>
      </c>
      <c r="O39" s="1" t="str">
        <f t="shared" si="7"/>
        <v>black</v>
      </c>
      <c r="P39" s="2" t="str">
        <f t="shared" si="8"/>
        <v>Black</v>
      </c>
      <c r="Q39" s="1" t="s">
        <v>20</v>
      </c>
      <c r="R39" s="2" t="str">
        <f t="shared" si="9"/>
        <v>Solid</v>
      </c>
      <c r="S39" s="1" t="s">
        <v>76</v>
      </c>
      <c r="T39" s="1" t="str">
        <f t="shared" si="10"/>
        <v>Unknown</v>
      </c>
      <c r="U39" s="2" t="str">
        <f t="shared" si="11"/>
        <v>Unknown</v>
      </c>
      <c r="V39" s="1" t="s">
        <v>76</v>
      </c>
      <c r="W39" s="1" t="s">
        <v>76</v>
      </c>
      <c r="X39" s="1" t="s">
        <v>22</v>
      </c>
      <c r="Y39" s="1" t="str">
        <f t="shared" si="13"/>
        <v>wet</v>
      </c>
      <c r="Z39" s="2" t="str">
        <f t="shared" si="14"/>
        <v>Wet</v>
      </c>
      <c r="AA39" s="1">
        <v>35</v>
      </c>
      <c r="AB39" s="1">
        <v>19</v>
      </c>
      <c r="AC39" s="1" t="s">
        <v>23</v>
      </c>
      <c r="AD39" s="2" t="str">
        <f t="shared" si="0"/>
        <v>France</v>
      </c>
      <c r="AE39" s="1">
        <v>43.611660000000001</v>
      </c>
      <c r="AF39" s="1">
        <v>3.87771</v>
      </c>
    </row>
    <row r="40" spans="1:32" x14ac:dyDescent="0.25">
      <c r="A40" s="1" t="s">
        <v>76</v>
      </c>
      <c r="B40" s="1">
        <v>1.75</v>
      </c>
      <c r="C40" s="1">
        <v>21</v>
      </c>
      <c r="D40" s="1">
        <f t="shared" si="1"/>
        <v>21</v>
      </c>
      <c r="E40" s="2">
        <f t="shared" si="2"/>
        <v>21</v>
      </c>
      <c r="F40" s="11" t="str">
        <f t="shared" si="3"/>
        <v>Young</v>
      </c>
      <c r="G40" s="1" t="s">
        <v>18</v>
      </c>
      <c r="H40" s="2" t="str">
        <f t="shared" si="4"/>
        <v>female</v>
      </c>
      <c r="I40" s="3" t="str">
        <f t="shared" si="5"/>
        <v>Female</v>
      </c>
      <c r="J40" s="1" t="b">
        <v>1</v>
      </c>
      <c r="K40" s="1">
        <v>28</v>
      </c>
      <c r="L40" s="1">
        <v>4.9000000000000004</v>
      </c>
      <c r="M40" s="2">
        <f t="shared" si="15"/>
        <v>4.9000000000000004</v>
      </c>
      <c r="N40" s="1" t="s">
        <v>19</v>
      </c>
      <c r="O40" s="1" t="str">
        <f t="shared" si="7"/>
        <v>white</v>
      </c>
      <c r="P40" s="2" t="str">
        <f t="shared" si="8"/>
        <v>White</v>
      </c>
      <c r="Q40" s="1" t="s">
        <v>20</v>
      </c>
      <c r="R40" s="2" t="str">
        <f t="shared" si="9"/>
        <v>Solid</v>
      </c>
      <c r="S40" s="1" t="s">
        <v>33</v>
      </c>
      <c r="T40" s="1" t="str">
        <f t="shared" si="10"/>
        <v>amber</v>
      </c>
      <c r="U40" s="2" t="str">
        <f t="shared" si="11"/>
        <v>Amber</v>
      </c>
      <c r="V40" s="1" t="b">
        <v>0</v>
      </c>
      <c r="W40" s="1" t="s">
        <v>76</v>
      </c>
      <c r="X40" s="1" t="s">
        <v>22</v>
      </c>
      <c r="Y40" s="1" t="str">
        <f t="shared" si="13"/>
        <v>wet</v>
      </c>
      <c r="Z40" s="2" t="str">
        <f t="shared" si="14"/>
        <v>Wet</v>
      </c>
      <c r="AA40" s="1">
        <v>10</v>
      </c>
      <c r="AB40" s="1">
        <v>17</v>
      </c>
      <c r="AC40" s="1" t="s">
        <v>23</v>
      </c>
      <c r="AD40" s="2" t="str">
        <f t="shared" si="0"/>
        <v>France</v>
      </c>
      <c r="AE40" s="1">
        <v>48.864716000000001</v>
      </c>
      <c r="AF40" s="1">
        <v>2.3490139999999999</v>
      </c>
    </row>
    <row r="42" spans="1:32" x14ac:dyDescent="0.25">
      <c r="E42" s="2">
        <f>AVERAGE(E2:E40)</f>
        <v>19.107142857142858</v>
      </c>
      <c r="AA42" s="1">
        <f>SUM(AA2:AA40)</f>
        <v>1175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B960F-03AD-405F-8566-E18986632425}">
  <dimension ref="A1:AF42"/>
  <sheetViews>
    <sheetView workbookViewId="0">
      <selection activeCell="D9" sqref="D9"/>
    </sheetView>
  </sheetViews>
  <sheetFormatPr defaultRowHeight="15" x14ac:dyDescent="0.25"/>
  <cols>
    <col min="1" max="1" width="10.85546875" style="1" bestFit="1" customWidth="1"/>
    <col min="2" max="2" width="17.42578125" style="1" bestFit="1" customWidth="1"/>
    <col min="3" max="3" width="19.5703125" style="1" bestFit="1" customWidth="1"/>
    <col min="4" max="4" width="23.140625" style="1" bestFit="1" customWidth="1"/>
    <col min="5" max="5" width="22.42578125" style="2" bestFit="1" customWidth="1"/>
    <col min="6" max="6" width="15.5703125" style="11" bestFit="1" customWidth="1"/>
    <col min="7" max="7" width="12.28515625" style="1" bestFit="1" customWidth="1"/>
    <col min="8" max="8" width="18.42578125" style="2" bestFit="1" customWidth="1"/>
    <col min="9" max="9" width="17.7109375" style="3" bestFit="1" customWidth="1"/>
    <col min="10" max="10" width="24.5703125" style="1" bestFit="1" customWidth="1"/>
    <col min="11" max="11" width="16.7109375" style="1" bestFit="1" customWidth="1"/>
    <col min="12" max="12" width="12.140625" style="1" bestFit="1" customWidth="1"/>
    <col min="13" max="13" width="17" style="2" bestFit="1" customWidth="1"/>
    <col min="14" max="14" width="27.85546875" style="1" bestFit="1" customWidth="1"/>
    <col min="15" max="15" width="31.140625" style="1" bestFit="1" customWidth="1"/>
    <col min="16" max="16" width="30.42578125" style="2" bestFit="1" customWidth="1"/>
    <col min="17" max="17" width="16" style="1" bestFit="1" customWidth="1"/>
    <col min="18" max="18" width="21.42578125" style="2" bestFit="1" customWidth="1"/>
    <col min="19" max="19" width="15.28515625" style="1" bestFit="1" customWidth="1"/>
    <col min="20" max="20" width="21.85546875" style="1" bestFit="1" customWidth="1"/>
    <col min="21" max="21" width="21" style="2" bestFit="1" customWidth="1"/>
    <col min="22" max="22" width="31.42578125" style="1" bestFit="1" customWidth="1"/>
    <col min="23" max="23" width="27.5703125" style="1" bestFit="1" customWidth="1"/>
    <col min="24" max="24" width="19.42578125" style="1" bestFit="1" customWidth="1"/>
    <col min="25" max="25" width="26.140625" style="1" bestFit="1" customWidth="1"/>
    <col min="26" max="26" width="24.85546875" style="2" bestFit="1" customWidth="1"/>
    <col min="27" max="27" width="30.28515625" style="1" bestFit="1" customWidth="1"/>
    <col min="28" max="28" width="22" style="1" bestFit="1" customWidth="1"/>
    <col min="29" max="29" width="12.5703125" style="1" bestFit="1" customWidth="1"/>
    <col min="30" max="30" width="18.7109375" style="2" bestFit="1" customWidth="1"/>
    <col min="31" max="31" width="12.85546875" style="1" bestFit="1" customWidth="1"/>
    <col min="32" max="32" width="14.42578125" style="1" bestFit="1" customWidth="1"/>
    <col min="33" max="16384" width="9.140625" style="1"/>
  </cols>
  <sheetData>
    <row r="1" spans="1:32" s="13" customFormat="1" x14ac:dyDescent="0.25">
      <c r="A1" s="13" t="s">
        <v>0</v>
      </c>
      <c r="B1" s="13" t="s">
        <v>1</v>
      </c>
      <c r="C1" s="13" t="s">
        <v>2</v>
      </c>
      <c r="D1" s="13" t="s">
        <v>40</v>
      </c>
      <c r="E1" s="14" t="s">
        <v>41</v>
      </c>
      <c r="F1" s="12" t="s">
        <v>50</v>
      </c>
      <c r="G1" s="13" t="s">
        <v>3</v>
      </c>
      <c r="H1" s="14" t="s">
        <v>43</v>
      </c>
      <c r="I1" s="15" t="s">
        <v>44</v>
      </c>
      <c r="J1" s="13" t="s">
        <v>4</v>
      </c>
      <c r="K1" s="13" t="s">
        <v>5</v>
      </c>
      <c r="L1" s="13" t="s">
        <v>6</v>
      </c>
      <c r="M1" s="14" t="s">
        <v>42</v>
      </c>
      <c r="N1" s="13" t="s">
        <v>7</v>
      </c>
      <c r="O1" s="13" t="s">
        <v>52</v>
      </c>
      <c r="P1" s="14" t="s">
        <v>53</v>
      </c>
      <c r="Q1" s="13" t="s">
        <v>8</v>
      </c>
      <c r="R1" s="2" t="s">
        <v>93</v>
      </c>
      <c r="S1" s="13" t="s">
        <v>9</v>
      </c>
      <c r="T1" s="13" t="s">
        <v>45</v>
      </c>
      <c r="U1" s="14" t="s">
        <v>46</v>
      </c>
      <c r="V1" s="13" t="s">
        <v>10</v>
      </c>
      <c r="W1" s="13" t="s">
        <v>47</v>
      </c>
      <c r="X1" s="13" t="s">
        <v>11</v>
      </c>
      <c r="Y1" s="13" t="s">
        <v>48</v>
      </c>
      <c r="Z1" s="14" t="s">
        <v>49</v>
      </c>
      <c r="AA1" s="13" t="s">
        <v>12</v>
      </c>
      <c r="AB1" s="13" t="s">
        <v>13</v>
      </c>
      <c r="AC1" s="13" t="s">
        <v>14</v>
      </c>
      <c r="AD1" s="14" t="s">
        <v>54</v>
      </c>
      <c r="AE1" s="13" t="s">
        <v>15</v>
      </c>
      <c r="AF1" s="13" t="s">
        <v>16</v>
      </c>
    </row>
    <row r="2" spans="1:32" x14ac:dyDescent="0.25">
      <c r="A2" s="1" t="s">
        <v>17</v>
      </c>
      <c r="B2" s="1">
        <v>0.25</v>
      </c>
      <c r="C2" s="1">
        <v>3</v>
      </c>
      <c r="D2" s="1">
        <f>IF(C2&lt;&gt;"",C2,B2*12)</f>
        <v>3</v>
      </c>
      <c r="E2" s="2">
        <f>IF(D2&lt;=0,"",D2)</f>
        <v>3</v>
      </c>
      <c r="F2" s="11" t="str">
        <f>IF(E2&lt;=12,"Kitten",
IF(E2&lt;=36,"Young",
IF(E2&lt;=60,"Adult","Senior")))</f>
        <v>Kitten</v>
      </c>
      <c r="G2" s="1" t="s">
        <v>18</v>
      </c>
      <c r="H2" s="2" t="str">
        <f>IF(OR(G2="male",G2="female"),G2,"Unknown")</f>
        <v>female</v>
      </c>
      <c r="I2" s="3" t="str">
        <f>PROPER(H2)</f>
        <v>Female</v>
      </c>
      <c r="J2" s="1" t="b">
        <v>0</v>
      </c>
      <c r="K2" s="1">
        <v>19</v>
      </c>
      <c r="L2" s="1">
        <v>2</v>
      </c>
      <c r="M2" s="2">
        <f>IF(L2&gt;15,"",L2)</f>
        <v>2</v>
      </c>
      <c r="N2" s="1" t="s">
        <v>19</v>
      </c>
      <c r="O2" s="1" t="str">
        <f>IF(OR(N2="white",N2="black",N2="red/cream"),N2,"Unknown")</f>
        <v>white</v>
      </c>
      <c r="P2" s="2" t="str">
        <f>PROPER(O2)</f>
        <v>White</v>
      </c>
      <c r="Q2" s="1" t="s">
        <v>20</v>
      </c>
      <c r="R2" s="2" t="str">
        <f>PROPER(Q2)</f>
        <v>Solid</v>
      </c>
      <c r="S2" s="1" t="s">
        <v>21</v>
      </c>
      <c r="T2" s="1" t="str">
        <f>IF(OR(S2="blue",S2="green",S2="amber"),S2,"Unknown")</f>
        <v>blue</v>
      </c>
      <c r="U2" s="2" t="str">
        <f>PROPER(T2)</f>
        <v>Blue</v>
      </c>
      <c r="V2" s="1" t="b">
        <v>0</v>
      </c>
      <c r="W2" s="1" t="str">
        <f>IF(V2=TRUE,"Yes","No")</f>
        <v>No</v>
      </c>
      <c r="X2" s="1" t="s">
        <v>22</v>
      </c>
      <c r="Y2" s="1" t="str">
        <f>IF(OR(X2="wet",X2="dry"),X2,"Unknown")</f>
        <v>wet</v>
      </c>
      <c r="Z2" s="2" t="str">
        <f>PROPER(Y2)</f>
        <v>Wet</v>
      </c>
      <c r="AA2" s="1">
        <v>46</v>
      </c>
      <c r="AB2" s="1">
        <v>16</v>
      </c>
      <c r="AC2" s="1" t="s">
        <v>23</v>
      </c>
      <c r="AD2" s="2" t="str">
        <f t="shared" ref="AD2:AD40" si="0">PROPER(AC2)</f>
        <v>France</v>
      </c>
      <c r="AE2" s="1">
        <v>43.296481999999997</v>
      </c>
      <c r="AF2" s="1">
        <v>5.3697800000000004</v>
      </c>
    </row>
    <row r="3" spans="1:32" x14ac:dyDescent="0.25">
      <c r="A3" s="1" t="s">
        <v>17</v>
      </c>
      <c r="B3" s="1">
        <v>0.33</v>
      </c>
      <c r="C3" s="1">
        <v>4</v>
      </c>
      <c r="D3" s="1">
        <f t="shared" ref="D3:D40" si="1">IF(C3&lt;&gt;"",C3,B3*12)</f>
        <v>4</v>
      </c>
      <c r="E3" s="2">
        <f t="shared" ref="E3:E40" si="2">IF(D3&lt;=0,"",D3)</f>
        <v>4</v>
      </c>
      <c r="F3" s="11" t="str">
        <f t="shared" ref="F3:F40" si="3">IF(E3&lt;=12,"Kitten",
IF(E3&lt;=36,"Young",
IF(E3&lt;=60,"Adult","Senior")))</f>
        <v>Kitten</v>
      </c>
      <c r="G3" s="1" t="s">
        <v>24</v>
      </c>
      <c r="H3" s="2" t="str">
        <f t="shared" ref="H3:H40" si="4">IF(OR(G3="male",G3="female"),G3,"Unknown")</f>
        <v>male</v>
      </c>
      <c r="I3" s="3" t="str">
        <f t="shared" ref="I3:I40" si="5">PROPER(H3)</f>
        <v>Male</v>
      </c>
      <c r="J3" s="1" t="b">
        <v>0</v>
      </c>
      <c r="K3" s="1">
        <v>19</v>
      </c>
      <c r="L3" s="1">
        <v>2.5</v>
      </c>
      <c r="M3" s="2">
        <f t="shared" ref="M3:M10" si="6">IF(L3&gt;15,"",L3)</f>
        <v>2.5</v>
      </c>
      <c r="N3" s="1" t="s">
        <v>19</v>
      </c>
      <c r="O3" s="1" t="str">
        <f t="shared" ref="O3:O40" si="7">IF(OR(N3="white",N3="black",N3="red/cream"),N3,"Unknown")</f>
        <v>white</v>
      </c>
      <c r="P3" s="2" t="str">
        <f t="shared" ref="P3:P40" si="8">PROPER(O3)</f>
        <v>White</v>
      </c>
      <c r="Q3" s="1" t="s">
        <v>20</v>
      </c>
      <c r="R3" s="2" t="str">
        <f t="shared" ref="R3:R40" si="9">PROPER(Q3)</f>
        <v>Solid</v>
      </c>
      <c r="S3" s="1" t="s">
        <v>21</v>
      </c>
      <c r="T3" s="1" t="str">
        <f t="shared" ref="T3:T40" si="10">IF(OR(S3="blue",S3="green",S3="amber"),S3,"Unknown")</f>
        <v>blue</v>
      </c>
      <c r="U3" s="2" t="str">
        <f t="shared" ref="U3:U40" si="11">PROPER(T3)</f>
        <v>Blue</v>
      </c>
      <c r="V3" s="1" t="b">
        <v>0</v>
      </c>
      <c r="W3" s="1" t="str">
        <f t="shared" ref="W3:W36" si="12">IF(V3=TRUE,"Yes","No")</f>
        <v>No</v>
      </c>
      <c r="X3" s="1" t="s">
        <v>22</v>
      </c>
      <c r="Y3" s="1" t="str">
        <f t="shared" ref="Y3:Y40" si="13">IF(OR(X3="wet",X3="dry"),X3,"Unknown")</f>
        <v>wet</v>
      </c>
      <c r="Z3" s="2" t="str">
        <f t="shared" ref="Z3:Z40" si="14">PROPER(Y3)</f>
        <v>Wet</v>
      </c>
      <c r="AA3" s="1">
        <v>48</v>
      </c>
      <c r="AB3" s="1">
        <v>16</v>
      </c>
      <c r="AC3" s="1" t="s">
        <v>23</v>
      </c>
      <c r="AD3" s="2" t="str">
        <f t="shared" si="0"/>
        <v>France</v>
      </c>
      <c r="AE3" s="1">
        <v>43.611660000000001</v>
      </c>
      <c r="AF3" s="1">
        <v>3.87771</v>
      </c>
    </row>
    <row r="4" spans="1:32" x14ac:dyDescent="0.25">
      <c r="A4" s="1" t="s">
        <v>17</v>
      </c>
      <c r="B4" s="1">
        <v>0.5</v>
      </c>
      <c r="C4" s="1" t="s">
        <v>76</v>
      </c>
      <c r="D4" s="1" t="str">
        <f t="shared" si="1"/>
        <v>N/A</v>
      </c>
      <c r="F4" s="11" t="str">
        <f t="shared" si="3"/>
        <v>Kitten</v>
      </c>
      <c r="G4" s="1" t="s">
        <v>76</v>
      </c>
      <c r="H4" s="2" t="str">
        <f t="shared" si="4"/>
        <v>Unknown</v>
      </c>
      <c r="I4" s="3" t="str">
        <f t="shared" si="5"/>
        <v>Unknown</v>
      </c>
      <c r="J4" s="1" t="b">
        <v>0</v>
      </c>
      <c r="K4" s="1">
        <v>20</v>
      </c>
      <c r="L4" s="1">
        <v>2.8</v>
      </c>
      <c r="M4" s="2">
        <f t="shared" si="6"/>
        <v>2.8</v>
      </c>
      <c r="N4" s="1" t="s">
        <v>25</v>
      </c>
      <c r="O4" s="1" t="str">
        <f t="shared" si="7"/>
        <v>Unknown</v>
      </c>
      <c r="P4" s="2" t="str">
        <f t="shared" si="8"/>
        <v>Unknown</v>
      </c>
      <c r="Q4" s="1" t="s">
        <v>20</v>
      </c>
      <c r="R4" s="2" t="str">
        <f t="shared" si="9"/>
        <v>Solid</v>
      </c>
      <c r="S4" s="1" t="s">
        <v>26</v>
      </c>
      <c r="T4" s="1" t="str">
        <f t="shared" si="10"/>
        <v>green</v>
      </c>
      <c r="U4" s="2" t="str">
        <f t="shared" si="11"/>
        <v>Green</v>
      </c>
      <c r="V4" s="1" t="s">
        <v>27</v>
      </c>
      <c r="W4" s="1" t="str">
        <f t="shared" si="12"/>
        <v>No</v>
      </c>
      <c r="X4" s="1" t="s">
        <v>22</v>
      </c>
      <c r="Y4" s="1" t="str">
        <f t="shared" si="13"/>
        <v>wet</v>
      </c>
      <c r="Z4" s="2" t="str">
        <f t="shared" si="14"/>
        <v>Wet</v>
      </c>
      <c r="AA4" s="1">
        <v>41</v>
      </c>
      <c r="AB4" s="1">
        <v>11</v>
      </c>
      <c r="AC4" s="1" t="s">
        <v>23</v>
      </c>
      <c r="AD4" s="2" t="str">
        <f t="shared" si="0"/>
        <v>France</v>
      </c>
      <c r="AE4" s="1">
        <v>44.837789000000001</v>
      </c>
      <c r="AF4" s="1">
        <v>-0.57918000000000003</v>
      </c>
    </row>
    <row r="5" spans="1:32" x14ac:dyDescent="0.25">
      <c r="A5" s="1" t="s">
        <v>28</v>
      </c>
      <c r="B5" s="1">
        <v>0.5</v>
      </c>
      <c r="C5" s="1" t="s">
        <v>76</v>
      </c>
      <c r="D5" s="1" t="str">
        <f t="shared" si="1"/>
        <v>N/A</v>
      </c>
      <c r="F5" s="11" t="str">
        <f t="shared" si="3"/>
        <v>Kitten</v>
      </c>
      <c r="G5" s="1" t="s">
        <v>76</v>
      </c>
      <c r="H5" s="2" t="str">
        <f t="shared" si="4"/>
        <v>Unknown</v>
      </c>
      <c r="I5" s="3" t="str">
        <f t="shared" si="5"/>
        <v>Unknown</v>
      </c>
      <c r="J5" s="1" t="b">
        <v>0</v>
      </c>
      <c r="K5" s="1">
        <v>21</v>
      </c>
      <c r="L5" s="1">
        <v>3</v>
      </c>
      <c r="M5" s="2">
        <f t="shared" si="6"/>
        <v>3</v>
      </c>
      <c r="N5" s="1" t="s">
        <v>19</v>
      </c>
      <c r="O5" s="1" t="str">
        <f t="shared" si="7"/>
        <v>white</v>
      </c>
      <c r="P5" s="2" t="str">
        <f t="shared" si="8"/>
        <v>White</v>
      </c>
      <c r="Q5" s="1" t="s">
        <v>29</v>
      </c>
      <c r="R5" s="2" t="str">
        <f t="shared" si="9"/>
        <v>Dirty</v>
      </c>
      <c r="S5" s="1" t="s">
        <v>21</v>
      </c>
      <c r="T5" s="1" t="str">
        <f t="shared" si="10"/>
        <v>blue</v>
      </c>
      <c r="U5" s="2" t="str">
        <f t="shared" si="11"/>
        <v>Blue</v>
      </c>
      <c r="V5" s="1" t="b">
        <v>0</v>
      </c>
      <c r="W5" s="1" t="str">
        <f t="shared" si="12"/>
        <v>No</v>
      </c>
      <c r="X5" s="1" t="s">
        <v>22</v>
      </c>
      <c r="Y5" s="1" t="str">
        <f t="shared" si="13"/>
        <v>wet</v>
      </c>
      <c r="Z5" s="2" t="str">
        <f t="shared" si="14"/>
        <v>Wet</v>
      </c>
      <c r="AA5" s="1">
        <v>24</v>
      </c>
      <c r="AB5" s="1">
        <v>8</v>
      </c>
      <c r="AC5" s="1" t="s">
        <v>23</v>
      </c>
      <c r="AD5" s="2" t="str">
        <f t="shared" si="0"/>
        <v>France</v>
      </c>
      <c r="AE5" s="1">
        <v>43.611660000000001</v>
      </c>
      <c r="AF5" s="1">
        <v>3.87771</v>
      </c>
    </row>
    <row r="6" spans="1:32" x14ac:dyDescent="0.25">
      <c r="A6" s="1" t="s">
        <v>17</v>
      </c>
      <c r="B6" s="1">
        <v>0.5</v>
      </c>
      <c r="C6" s="1" t="s">
        <v>76</v>
      </c>
      <c r="D6" s="1" t="str">
        <f t="shared" si="1"/>
        <v>N/A</v>
      </c>
      <c r="F6" s="11" t="str">
        <f t="shared" si="3"/>
        <v>Kitten</v>
      </c>
      <c r="G6" s="1" t="s">
        <v>76</v>
      </c>
      <c r="H6" s="2" t="str">
        <f t="shared" si="4"/>
        <v>Unknown</v>
      </c>
      <c r="I6" s="3" t="str">
        <f t="shared" si="5"/>
        <v>Unknown</v>
      </c>
      <c r="J6" s="1" t="s">
        <v>76</v>
      </c>
      <c r="K6" s="1">
        <v>21</v>
      </c>
      <c r="L6" s="1">
        <v>3</v>
      </c>
      <c r="M6" s="2">
        <f t="shared" si="6"/>
        <v>3</v>
      </c>
      <c r="N6" s="1" t="s">
        <v>30</v>
      </c>
      <c r="O6" s="1" t="str">
        <f t="shared" si="7"/>
        <v>red/cream</v>
      </c>
      <c r="P6" s="2" t="str">
        <f t="shared" si="8"/>
        <v>Red/Cream</v>
      </c>
      <c r="Q6" s="1" t="s">
        <v>31</v>
      </c>
      <c r="R6" s="2" t="str">
        <f t="shared" si="9"/>
        <v>Tabby</v>
      </c>
      <c r="S6" s="1" t="s">
        <v>26</v>
      </c>
      <c r="T6" s="1" t="str">
        <f t="shared" si="10"/>
        <v>green</v>
      </c>
      <c r="U6" s="2" t="str">
        <f t="shared" si="11"/>
        <v>Green</v>
      </c>
      <c r="V6" s="1" t="b">
        <v>0</v>
      </c>
      <c r="W6" s="1" t="str">
        <f t="shared" si="12"/>
        <v>No</v>
      </c>
      <c r="X6" s="1" t="s">
        <v>22</v>
      </c>
      <c r="Y6" s="1" t="str">
        <f t="shared" si="13"/>
        <v>wet</v>
      </c>
      <c r="Z6" s="2" t="str">
        <f t="shared" si="14"/>
        <v>Wet</v>
      </c>
      <c r="AA6" s="1">
        <v>51</v>
      </c>
      <c r="AB6" s="1">
        <v>10</v>
      </c>
      <c r="AC6" s="1" t="s">
        <v>32</v>
      </c>
      <c r="AD6" s="2" t="str">
        <f t="shared" si="0"/>
        <v>France</v>
      </c>
      <c r="AE6" s="1">
        <v>48.864716000000001</v>
      </c>
      <c r="AF6" s="1">
        <v>2.3490139999999999</v>
      </c>
    </row>
    <row r="7" spans="1:32" x14ac:dyDescent="0.25">
      <c r="A7" s="1" t="s">
        <v>76</v>
      </c>
      <c r="B7" s="1">
        <v>0.5</v>
      </c>
      <c r="C7" s="1">
        <v>6</v>
      </c>
      <c r="D7" s="1">
        <f t="shared" si="1"/>
        <v>6</v>
      </c>
      <c r="E7" s="2">
        <f t="shared" si="2"/>
        <v>6</v>
      </c>
      <c r="F7" s="11" t="str">
        <f t="shared" si="3"/>
        <v>Kitten</v>
      </c>
      <c r="G7" s="1" t="s">
        <v>18</v>
      </c>
      <c r="H7" s="2" t="str">
        <f t="shared" si="4"/>
        <v>female</v>
      </c>
      <c r="I7" s="3" t="str">
        <f t="shared" si="5"/>
        <v>Female</v>
      </c>
      <c r="J7" s="1" t="b">
        <v>0</v>
      </c>
      <c r="K7" s="1">
        <v>21</v>
      </c>
      <c r="L7" s="1">
        <v>3</v>
      </c>
      <c r="M7" s="2">
        <f t="shared" si="6"/>
        <v>3</v>
      </c>
      <c r="N7" s="1" t="s">
        <v>19</v>
      </c>
      <c r="O7" s="1" t="str">
        <f t="shared" si="7"/>
        <v>white</v>
      </c>
      <c r="P7" s="2" t="str">
        <f t="shared" si="8"/>
        <v>White</v>
      </c>
      <c r="Q7" s="1" t="s">
        <v>20</v>
      </c>
      <c r="R7" s="2" t="str">
        <f t="shared" si="9"/>
        <v>Solid</v>
      </c>
      <c r="S7" s="1" t="s">
        <v>33</v>
      </c>
      <c r="T7" s="1" t="str">
        <f t="shared" si="10"/>
        <v>amber</v>
      </c>
      <c r="U7" s="2" t="str">
        <f t="shared" si="11"/>
        <v>Amber</v>
      </c>
      <c r="V7" s="1" t="b">
        <v>0</v>
      </c>
      <c r="W7" s="1" t="str">
        <f t="shared" si="12"/>
        <v>No</v>
      </c>
      <c r="X7" s="1" t="s">
        <v>34</v>
      </c>
      <c r="Y7" s="1" t="str">
        <f t="shared" si="13"/>
        <v>Unknown</v>
      </c>
      <c r="Z7" s="2" t="str">
        <f t="shared" si="14"/>
        <v>Unknown</v>
      </c>
      <c r="AA7" s="1">
        <v>30</v>
      </c>
      <c r="AB7" s="1">
        <v>28</v>
      </c>
      <c r="AC7" s="1" t="s">
        <v>23</v>
      </c>
      <c r="AD7" s="2" t="str">
        <f t="shared" si="0"/>
        <v>France</v>
      </c>
      <c r="AE7" s="1">
        <v>43.611660000000001</v>
      </c>
      <c r="AF7" s="1">
        <v>3.87771</v>
      </c>
    </row>
    <row r="8" spans="1:32" x14ac:dyDescent="0.25">
      <c r="A8" s="1" t="s">
        <v>17</v>
      </c>
      <c r="B8" s="1">
        <v>0.57999999999999996</v>
      </c>
      <c r="C8" s="1" t="s">
        <v>76</v>
      </c>
      <c r="D8" s="1" t="str">
        <f t="shared" si="1"/>
        <v>N/A</v>
      </c>
      <c r="F8" s="11" t="str">
        <f t="shared" si="3"/>
        <v>Kitten</v>
      </c>
      <c r="G8" s="1" t="s">
        <v>76</v>
      </c>
      <c r="H8" s="2" t="str">
        <f t="shared" si="4"/>
        <v>Unknown</v>
      </c>
      <c r="I8" s="3" t="str">
        <f t="shared" si="5"/>
        <v>Unknown</v>
      </c>
      <c r="J8" s="1" t="s">
        <v>76</v>
      </c>
      <c r="K8" s="1">
        <v>22</v>
      </c>
      <c r="L8" s="1">
        <v>3</v>
      </c>
      <c r="M8" s="2">
        <f t="shared" si="6"/>
        <v>3</v>
      </c>
      <c r="N8" s="1" t="s">
        <v>19</v>
      </c>
      <c r="O8" s="1" t="str">
        <f t="shared" si="7"/>
        <v>white</v>
      </c>
      <c r="P8" s="2" t="str">
        <f t="shared" si="8"/>
        <v>White</v>
      </c>
      <c r="Q8" s="1" t="s">
        <v>20</v>
      </c>
      <c r="R8" s="2" t="str">
        <f t="shared" si="9"/>
        <v>Solid</v>
      </c>
      <c r="S8" s="1" t="s">
        <v>33</v>
      </c>
      <c r="T8" s="1" t="str">
        <f t="shared" si="10"/>
        <v>amber</v>
      </c>
      <c r="U8" s="2" t="str">
        <f t="shared" si="11"/>
        <v>Amber</v>
      </c>
      <c r="V8" s="1" t="b">
        <v>0</v>
      </c>
      <c r="W8" s="1" t="str">
        <f t="shared" si="12"/>
        <v>No</v>
      </c>
      <c r="X8" s="1" t="s">
        <v>22</v>
      </c>
      <c r="Y8" s="1" t="str">
        <f t="shared" si="13"/>
        <v>wet</v>
      </c>
      <c r="Z8" s="2" t="str">
        <f t="shared" si="14"/>
        <v>Wet</v>
      </c>
      <c r="AA8" s="1">
        <v>47</v>
      </c>
      <c r="AB8" s="1">
        <v>9</v>
      </c>
      <c r="AC8" s="1" t="s">
        <v>23</v>
      </c>
      <c r="AD8" s="2" t="str">
        <f t="shared" si="0"/>
        <v>France</v>
      </c>
      <c r="AE8" s="1">
        <v>47.218370999999998</v>
      </c>
      <c r="AF8" s="1">
        <v>-1.5536209999999999</v>
      </c>
    </row>
    <row r="9" spans="1:32" x14ac:dyDescent="0.25">
      <c r="A9" s="1" t="s">
        <v>17</v>
      </c>
      <c r="B9" s="1" t="s">
        <v>76</v>
      </c>
      <c r="C9" s="1">
        <v>7</v>
      </c>
      <c r="D9" s="1">
        <f t="shared" si="1"/>
        <v>7</v>
      </c>
      <c r="E9" s="2">
        <f t="shared" si="2"/>
        <v>7</v>
      </c>
      <c r="F9" s="11" t="str">
        <f t="shared" si="3"/>
        <v>Kitten</v>
      </c>
      <c r="G9" s="1" t="s">
        <v>76</v>
      </c>
      <c r="H9" s="2" t="str">
        <f t="shared" si="4"/>
        <v>Unknown</v>
      </c>
      <c r="I9" s="3" t="str">
        <f t="shared" si="5"/>
        <v>Unknown</v>
      </c>
      <c r="J9" s="1" t="s">
        <v>76</v>
      </c>
      <c r="K9" s="1">
        <v>23</v>
      </c>
      <c r="L9" s="1">
        <v>3</v>
      </c>
      <c r="M9" s="2">
        <f t="shared" si="6"/>
        <v>3</v>
      </c>
      <c r="N9" s="1" t="s">
        <v>30</v>
      </c>
      <c r="O9" s="1" t="str">
        <f t="shared" si="7"/>
        <v>red/cream</v>
      </c>
      <c r="P9" s="2" t="str">
        <f t="shared" si="8"/>
        <v>Red/Cream</v>
      </c>
      <c r="Q9" s="1" t="s">
        <v>76</v>
      </c>
      <c r="R9" s="2" t="str">
        <f t="shared" si="9"/>
        <v>N/A</v>
      </c>
      <c r="S9" s="1" t="s">
        <v>35</v>
      </c>
      <c r="T9" s="1" t="str">
        <f t="shared" si="10"/>
        <v>Unknown</v>
      </c>
      <c r="U9" s="2" t="str">
        <f t="shared" si="11"/>
        <v>Unknown</v>
      </c>
      <c r="V9" s="1" t="b">
        <v>0</v>
      </c>
      <c r="W9" s="1" t="str">
        <f t="shared" si="12"/>
        <v>No</v>
      </c>
      <c r="X9" s="1" t="s">
        <v>22</v>
      </c>
      <c r="Y9" s="1" t="str">
        <f t="shared" si="13"/>
        <v>wet</v>
      </c>
      <c r="Z9" s="2" t="str">
        <f t="shared" si="14"/>
        <v>Wet</v>
      </c>
      <c r="AA9" s="1">
        <v>55</v>
      </c>
      <c r="AB9" s="1">
        <v>11</v>
      </c>
      <c r="AC9" s="1" t="s">
        <v>23</v>
      </c>
      <c r="AD9" s="2" t="str">
        <f t="shared" si="0"/>
        <v>France</v>
      </c>
      <c r="AE9" s="1">
        <v>47.218370999999998</v>
      </c>
      <c r="AF9" s="1">
        <v>-1.5536209999999999</v>
      </c>
    </row>
    <row r="10" spans="1:32" x14ac:dyDescent="0.25">
      <c r="A10" s="1" t="s">
        <v>17</v>
      </c>
      <c r="B10" s="1" t="s">
        <v>76</v>
      </c>
      <c r="C10" s="1">
        <v>7</v>
      </c>
      <c r="D10" s="1">
        <f t="shared" si="1"/>
        <v>7</v>
      </c>
      <c r="E10" s="2">
        <f t="shared" si="2"/>
        <v>7</v>
      </c>
      <c r="F10" s="11" t="str">
        <f t="shared" si="3"/>
        <v>Kitten</v>
      </c>
      <c r="G10" s="1" t="s">
        <v>18</v>
      </c>
      <c r="H10" s="2" t="str">
        <f t="shared" si="4"/>
        <v>female</v>
      </c>
      <c r="I10" s="3" t="str">
        <f t="shared" si="5"/>
        <v>Female</v>
      </c>
      <c r="J10" s="1" t="s">
        <v>76</v>
      </c>
      <c r="K10" s="1">
        <v>25</v>
      </c>
      <c r="L10" s="1">
        <v>3</v>
      </c>
      <c r="M10" s="2">
        <f t="shared" si="6"/>
        <v>3</v>
      </c>
      <c r="N10" s="1" t="s">
        <v>36</v>
      </c>
      <c r="O10" s="1" t="str">
        <f t="shared" si="7"/>
        <v>black</v>
      </c>
      <c r="P10" s="2" t="str">
        <f t="shared" si="8"/>
        <v>Black</v>
      </c>
      <c r="Q10" s="1" t="s">
        <v>76</v>
      </c>
      <c r="R10" s="2" t="str">
        <f t="shared" si="9"/>
        <v>N/A</v>
      </c>
      <c r="S10" s="1" t="s">
        <v>21</v>
      </c>
      <c r="T10" s="1" t="str">
        <f t="shared" si="10"/>
        <v>blue</v>
      </c>
      <c r="U10" s="2" t="str">
        <f t="shared" si="11"/>
        <v>Blue</v>
      </c>
      <c r="V10" s="1" t="b">
        <v>0</v>
      </c>
      <c r="W10" s="1" t="str">
        <f t="shared" si="12"/>
        <v>No</v>
      </c>
      <c r="X10" s="1" t="s">
        <v>22</v>
      </c>
      <c r="Y10" s="1" t="str">
        <f t="shared" si="13"/>
        <v>wet</v>
      </c>
      <c r="Z10" s="2" t="str">
        <f t="shared" si="14"/>
        <v>Wet</v>
      </c>
      <c r="AA10" s="1">
        <v>20</v>
      </c>
      <c r="AB10" s="1">
        <v>12</v>
      </c>
      <c r="AC10" s="1" t="s">
        <v>23</v>
      </c>
      <c r="AD10" s="2" t="str">
        <f t="shared" si="0"/>
        <v>France</v>
      </c>
      <c r="AE10" s="1">
        <v>43.296481999999997</v>
      </c>
      <c r="AF10" s="1">
        <v>5.3697800000000004</v>
      </c>
    </row>
    <row r="11" spans="1:32" x14ac:dyDescent="0.25">
      <c r="A11" s="1" t="s">
        <v>17</v>
      </c>
      <c r="B11" s="1" t="s">
        <v>76</v>
      </c>
      <c r="C11" s="1">
        <v>8</v>
      </c>
      <c r="D11" s="1">
        <f t="shared" si="1"/>
        <v>8</v>
      </c>
      <c r="E11" s="2">
        <f t="shared" si="2"/>
        <v>8</v>
      </c>
      <c r="F11" s="11" t="str">
        <f t="shared" si="3"/>
        <v>Kitten</v>
      </c>
      <c r="G11" s="1" t="s">
        <v>18</v>
      </c>
      <c r="H11" s="2" t="str">
        <f t="shared" si="4"/>
        <v>female</v>
      </c>
      <c r="I11" s="3" t="str">
        <f t="shared" si="5"/>
        <v>Female</v>
      </c>
      <c r="J11" s="1" t="s">
        <v>76</v>
      </c>
      <c r="K11" s="1">
        <v>25</v>
      </c>
      <c r="L11" s="1">
        <v>3.2</v>
      </c>
      <c r="M11" s="2">
        <f>IF(L11&gt;15,0,L11)</f>
        <v>3.2</v>
      </c>
      <c r="N11" s="1" t="s">
        <v>19</v>
      </c>
      <c r="O11" s="1" t="str">
        <f t="shared" si="7"/>
        <v>white</v>
      </c>
      <c r="P11" s="2" t="str">
        <f t="shared" si="8"/>
        <v>White</v>
      </c>
      <c r="Q11" s="1" t="s">
        <v>76</v>
      </c>
      <c r="R11" s="2" t="str">
        <f t="shared" si="9"/>
        <v>N/A</v>
      </c>
      <c r="S11" s="1" t="s">
        <v>21</v>
      </c>
      <c r="T11" s="1" t="str">
        <f t="shared" si="10"/>
        <v>blue</v>
      </c>
      <c r="U11" s="2" t="str">
        <f t="shared" si="11"/>
        <v>Blue</v>
      </c>
      <c r="V11" s="1" t="b">
        <v>0</v>
      </c>
      <c r="W11" s="1" t="str">
        <f t="shared" si="12"/>
        <v>No</v>
      </c>
      <c r="X11" s="1" t="s">
        <v>22</v>
      </c>
      <c r="Y11" s="1" t="str">
        <f t="shared" si="13"/>
        <v>wet</v>
      </c>
      <c r="Z11" s="2" t="str">
        <f t="shared" si="14"/>
        <v>Wet</v>
      </c>
      <c r="AA11" s="1">
        <v>33</v>
      </c>
      <c r="AB11" s="1">
        <v>17</v>
      </c>
      <c r="AC11" s="1" t="s">
        <v>23</v>
      </c>
      <c r="AD11" s="2" t="str">
        <f t="shared" si="0"/>
        <v>France</v>
      </c>
      <c r="AE11" s="1">
        <v>44.837789000000001</v>
      </c>
      <c r="AF11" s="1">
        <v>-0.57918000000000003</v>
      </c>
    </row>
    <row r="12" spans="1:32" x14ac:dyDescent="0.25">
      <c r="A12" s="1" t="s">
        <v>76</v>
      </c>
      <c r="B12" s="1">
        <v>0.67</v>
      </c>
      <c r="C12" s="1">
        <v>8</v>
      </c>
      <c r="D12" s="1">
        <f t="shared" si="1"/>
        <v>8</v>
      </c>
      <c r="E12" s="2">
        <f t="shared" si="2"/>
        <v>8</v>
      </c>
      <c r="F12" s="11" t="str">
        <f t="shared" si="3"/>
        <v>Kitten</v>
      </c>
      <c r="G12" s="1" t="s">
        <v>18</v>
      </c>
      <c r="H12" s="2" t="str">
        <f t="shared" si="4"/>
        <v>female</v>
      </c>
      <c r="I12" s="3" t="str">
        <f t="shared" si="5"/>
        <v>Female</v>
      </c>
      <c r="J12" s="1" t="b">
        <v>0</v>
      </c>
      <c r="K12" s="1">
        <v>26</v>
      </c>
      <c r="L12" s="1">
        <v>3</v>
      </c>
      <c r="M12" s="2">
        <f t="shared" ref="M12:M40" si="15">IF(L12&gt;15,0,L12)</f>
        <v>3</v>
      </c>
      <c r="N12" s="1" t="s">
        <v>36</v>
      </c>
      <c r="O12" s="1" t="str">
        <f t="shared" si="7"/>
        <v>black</v>
      </c>
      <c r="P12" s="2" t="str">
        <f t="shared" si="8"/>
        <v>Black</v>
      </c>
      <c r="Q12" s="1" t="s">
        <v>20</v>
      </c>
      <c r="R12" s="2" t="str">
        <f t="shared" si="9"/>
        <v>Solid</v>
      </c>
      <c r="S12" s="1" t="s">
        <v>26</v>
      </c>
      <c r="T12" s="1" t="str">
        <f t="shared" si="10"/>
        <v>green</v>
      </c>
      <c r="U12" s="2" t="str">
        <f t="shared" si="11"/>
        <v>Green</v>
      </c>
      <c r="V12" s="1" t="b">
        <v>0</v>
      </c>
      <c r="W12" s="1" t="str">
        <f t="shared" si="12"/>
        <v>No</v>
      </c>
      <c r="X12" s="1" t="s">
        <v>22</v>
      </c>
      <c r="Y12" s="1" t="str">
        <f t="shared" si="13"/>
        <v>wet</v>
      </c>
      <c r="Z12" s="2" t="str">
        <f t="shared" si="14"/>
        <v>Wet</v>
      </c>
      <c r="AA12" s="1">
        <v>39</v>
      </c>
      <c r="AB12" s="1">
        <v>18</v>
      </c>
      <c r="AC12" s="1" t="s">
        <v>23</v>
      </c>
      <c r="AD12" s="2" t="str">
        <f t="shared" si="0"/>
        <v>France</v>
      </c>
      <c r="AE12" s="1">
        <v>43.296481999999997</v>
      </c>
      <c r="AF12" s="1">
        <v>5.3697800000000004</v>
      </c>
    </row>
    <row r="13" spans="1:32" x14ac:dyDescent="0.25">
      <c r="A13" s="1" t="s">
        <v>17</v>
      </c>
      <c r="B13" s="1">
        <v>0.67</v>
      </c>
      <c r="C13" s="1">
        <v>8</v>
      </c>
      <c r="D13" s="1">
        <f t="shared" si="1"/>
        <v>8</v>
      </c>
      <c r="E13" s="2">
        <f t="shared" si="2"/>
        <v>8</v>
      </c>
      <c r="F13" s="11" t="str">
        <f t="shared" si="3"/>
        <v>Kitten</v>
      </c>
      <c r="G13" s="1" t="s">
        <v>24</v>
      </c>
      <c r="H13" s="2" t="str">
        <f t="shared" si="4"/>
        <v>male</v>
      </c>
      <c r="I13" s="3" t="str">
        <f t="shared" si="5"/>
        <v>Male</v>
      </c>
      <c r="J13" s="1" t="s">
        <v>76</v>
      </c>
      <c r="K13" s="1">
        <v>26</v>
      </c>
      <c r="L13" s="1">
        <v>3.3</v>
      </c>
      <c r="M13" s="2">
        <f t="shared" si="15"/>
        <v>3.3</v>
      </c>
      <c r="N13" s="1" t="s">
        <v>19</v>
      </c>
      <c r="O13" s="1" t="str">
        <f t="shared" si="7"/>
        <v>white</v>
      </c>
      <c r="P13" s="2" t="str">
        <f t="shared" si="8"/>
        <v>White</v>
      </c>
      <c r="Q13" s="1" t="s">
        <v>76</v>
      </c>
      <c r="R13" s="2" t="str">
        <f t="shared" si="9"/>
        <v>N/A</v>
      </c>
      <c r="S13" s="1" t="s">
        <v>33</v>
      </c>
      <c r="T13" s="1" t="str">
        <f t="shared" si="10"/>
        <v>amber</v>
      </c>
      <c r="U13" s="2" t="str">
        <f t="shared" si="11"/>
        <v>Amber</v>
      </c>
      <c r="V13" s="1" t="b">
        <v>0</v>
      </c>
      <c r="W13" s="1" t="str">
        <f t="shared" si="12"/>
        <v>No</v>
      </c>
      <c r="X13" s="1" t="s">
        <v>22</v>
      </c>
      <c r="Y13" s="1" t="str">
        <f t="shared" si="13"/>
        <v>wet</v>
      </c>
      <c r="Z13" s="2" t="str">
        <f t="shared" si="14"/>
        <v>Wet</v>
      </c>
      <c r="AA13" s="1" t="s">
        <v>76</v>
      </c>
      <c r="AB13" s="1" t="s">
        <v>76</v>
      </c>
      <c r="AC13" s="1" t="s">
        <v>23</v>
      </c>
      <c r="AD13" s="2" t="str">
        <f t="shared" si="0"/>
        <v>France</v>
      </c>
      <c r="AE13" s="1">
        <v>43.611660000000001</v>
      </c>
      <c r="AF13" s="1">
        <v>3.87771</v>
      </c>
    </row>
    <row r="14" spans="1:32" x14ac:dyDescent="0.25">
      <c r="A14" s="1" t="s">
        <v>17</v>
      </c>
      <c r="B14" s="1">
        <v>0.75</v>
      </c>
      <c r="C14" s="1">
        <v>9</v>
      </c>
      <c r="D14" s="1">
        <f t="shared" si="1"/>
        <v>9</v>
      </c>
      <c r="E14" s="2">
        <f t="shared" si="2"/>
        <v>9</v>
      </c>
      <c r="F14" s="11" t="str">
        <f t="shared" si="3"/>
        <v>Kitten</v>
      </c>
      <c r="G14" s="1" t="s">
        <v>24</v>
      </c>
      <c r="H14" s="2" t="str">
        <f t="shared" si="4"/>
        <v>male</v>
      </c>
      <c r="I14" s="3" t="str">
        <f t="shared" si="5"/>
        <v>Male</v>
      </c>
      <c r="J14" s="1" t="s">
        <v>76</v>
      </c>
      <c r="K14" s="1">
        <v>27</v>
      </c>
      <c r="L14" s="1">
        <v>3.3</v>
      </c>
      <c r="M14" s="2">
        <f t="shared" si="15"/>
        <v>3.3</v>
      </c>
      <c r="N14" s="1" t="s">
        <v>19</v>
      </c>
      <c r="O14" s="1" t="str">
        <f t="shared" si="7"/>
        <v>white</v>
      </c>
      <c r="P14" s="2" t="str">
        <f t="shared" si="8"/>
        <v>White</v>
      </c>
      <c r="Q14" s="1" t="s">
        <v>76</v>
      </c>
      <c r="R14" s="2" t="str">
        <f t="shared" si="9"/>
        <v>N/A</v>
      </c>
      <c r="S14" s="1" t="s">
        <v>33</v>
      </c>
      <c r="T14" s="1" t="str">
        <f t="shared" si="10"/>
        <v>amber</v>
      </c>
      <c r="U14" s="2" t="str">
        <f t="shared" si="11"/>
        <v>Amber</v>
      </c>
      <c r="V14" s="1" t="b">
        <v>0</v>
      </c>
      <c r="W14" s="1" t="str">
        <f t="shared" si="12"/>
        <v>No</v>
      </c>
      <c r="X14" s="1" t="s">
        <v>22</v>
      </c>
      <c r="Y14" s="1" t="str">
        <f t="shared" si="13"/>
        <v>wet</v>
      </c>
      <c r="Z14" s="2" t="str">
        <f t="shared" si="14"/>
        <v>Wet</v>
      </c>
      <c r="AA14" s="1" t="s">
        <v>76</v>
      </c>
      <c r="AB14" s="1" t="s">
        <v>76</v>
      </c>
      <c r="AC14" s="1" t="s">
        <v>23</v>
      </c>
      <c r="AD14" s="2" t="str">
        <f t="shared" si="0"/>
        <v>France</v>
      </c>
      <c r="AE14" s="1">
        <v>48.864716000000001</v>
      </c>
      <c r="AF14" s="1">
        <v>2.3490139999999999</v>
      </c>
    </row>
    <row r="15" spans="1:32" x14ac:dyDescent="0.25">
      <c r="A15" s="1" t="s">
        <v>17</v>
      </c>
      <c r="B15" s="1">
        <v>-1.0833333329999999</v>
      </c>
      <c r="C15" s="1">
        <v>-13</v>
      </c>
      <c r="D15" s="1">
        <f t="shared" si="1"/>
        <v>-13</v>
      </c>
      <c r="E15" s="2">
        <v>13</v>
      </c>
      <c r="F15" s="11" t="str">
        <f t="shared" si="3"/>
        <v>Young</v>
      </c>
      <c r="G15" s="1" t="s">
        <v>24</v>
      </c>
      <c r="H15" s="2" t="str">
        <f t="shared" si="4"/>
        <v>male</v>
      </c>
      <c r="I15" s="3" t="str">
        <f t="shared" si="5"/>
        <v>Male</v>
      </c>
      <c r="J15" s="1" t="s">
        <v>76</v>
      </c>
      <c r="K15" s="1">
        <v>28</v>
      </c>
      <c r="L15" s="1">
        <v>3.2</v>
      </c>
      <c r="M15" s="2">
        <f t="shared" si="15"/>
        <v>3.2</v>
      </c>
      <c r="N15" s="1" t="s">
        <v>19</v>
      </c>
      <c r="O15" s="1" t="str">
        <f t="shared" si="7"/>
        <v>white</v>
      </c>
      <c r="P15" s="2" t="str">
        <f t="shared" si="8"/>
        <v>White</v>
      </c>
      <c r="Q15" s="1" t="s">
        <v>20</v>
      </c>
      <c r="R15" s="2" t="str">
        <f t="shared" si="9"/>
        <v>Solid</v>
      </c>
      <c r="S15" s="1" t="s">
        <v>21</v>
      </c>
      <c r="T15" s="1" t="str">
        <f t="shared" si="10"/>
        <v>blue</v>
      </c>
      <c r="U15" s="2" t="str">
        <f t="shared" si="11"/>
        <v>Blue</v>
      </c>
      <c r="V15" s="1" t="b">
        <v>0</v>
      </c>
      <c r="W15" s="1" t="str">
        <f t="shared" si="12"/>
        <v>No</v>
      </c>
      <c r="X15" s="1" t="s">
        <v>22</v>
      </c>
      <c r="Y15" s="1" t="str">
        <f t="shared" si="13"/>
        <v>wet</v>
      </c>
      <c r="Z15" s="2" t="str">
        <f t="shared" si="14"/>
        <v>Wet</v>
      </c>
      <c r="AA15" s="1">
        <v>35</v>
      </c>
      <c r="AB15" s="1">
        <v>14</v>
      </c>
      <c r="AC15" s="1" t="s">
        <v>23</v>
      </c>
      <c r="AD15" s="2" t="str">
        <f t="shared" si="0"/>
        <v>France</v>
      </c>
      <c r="AE15" s="1">
        <v>45.763420000000004</v>
      </c>
      <c r="AF15" s="1">
        <v>4.8342770000000002</v>
      </c>
    </row>
    <row r="16" spans="1:32" x14ac:dyDescent="0.25">
      <c r="A16" s="1" t="s">
        <v>17</v>
      </c>
      <c r="B16" s="1">
        <v>-1.3333333329999999</v>
      </c>
      <c r="C16" s="1">
        <v>-16</v>
      </c>
      <c r="D16" s="1">
        <f t="shared" si="1"/>
        <v>-16</v>
      </c>
      <c r="E16" s="2">
        <v>16</v>
      </c>
      <c r="F16" s="11" t="str">
        <f t="shared" si="3"/>
        <v>Young</v>
      </c>
      <c r="G16" s="1" t="s">
        <v>24</v>
      </c>
      <c r="H16" s="2" t="str">
        <f t="shared" si="4"/>
        <v>male</v>
      </c>
      <c r="I16" s="3" t="str">
        <f t="shared" si="5"/>
        <v>Male</v>
      </c>
      <c r="J16" s="1" t="s">
        <v>76</v>
      </c>
      <c r="K16" s="1">
        <v>30</v>
      </c>
      <c r="L16" s="1">
        <v>3.5</v>
      </c>
      <c r="M16" s="2">
        <f t="shared" si="15"/>
        <v>3.5</v>
      </c>
      <c r="N16" s="1" t="s">
        <v>30</v>
      </c>
      <c r="O16" s="1" t="str">
        <f t="shared" si="7"/>
        <v>red/cream</v>
      </c>
      <c r="P16" s="2" t="str">
        <f t="shared" si="8"/>
        <v>Red/Cream</v>
      </c>
      <c r="Q16" s="1" t="s">
        <v>31</v>
      </c>
      <c r="R16" s="2" t="str">
        <f t="shared" si="9"/>
        <v>Tabby</v>
      </c>
      <c r="S16" s="1" t="s">
        <v>21</v>
      </c>
      <c r="T16" s="1" t="str">
        <f t="shared" si="10"/>
        <v>blue</v>
      </c>
      <c r="U16" s="2" t="str">
        <f t="shared" si="11"/>
        <v>Blue</v>
      </c>
      <c r="V16" s="1" t="b">
        <v>0</v>
      </c>
      <c r="W16" s="1" t="str">
        <f t="shared" si="12"/>
        <v>No</v>
      </c>
      <c r="X16" s="1" t="s">
        <v>37</v>
      </c>
      <c r="Y16" s="1" t="str">
        <f t="shared" si="13"/>
        <v>dry</v>
      </c>
      <c r="Z16" s="2" t="str">
        <f t="shared" si="14"/>
        <v>Dry</v>
      </c>
      <c r="AA16" s="1">
        <v>38</v>
      </c>
      <c r="AB16" s="1">
        <v>20</v>
      </c>
      <c r="AC16" s="1" t="s">
        <v>23</v>
      </c>
      <c r="AD16" s="2" t="str">
        <f t="shared" si="0"/>
        <v>France</v>
      </c>
      <c r="AE16" s="1">
        <v>48.864716000000001</v>
      </c>
      <c r="AF16" s="1">
        <v>2.3490139999999999</v>
      </c>
    </row>
    <row r="17" spans="1:32" x14ac:dyDescent="0.25">
      <c r="A17" s="1" t="s">
        <v>76</v>
      </c>
      <c r="B17" s="1">
        <v>0.83</v>
      </c>
      <c r="C17" s="1">
        <v>10</v>
      </c>
      <c r="D17" s="1">
        <f t="shared" si="1"/>
        <v>10</v>
      </c>
      <c r="E17" s="2">
        <f t="shared" si="2"/>
        <v>10</v>
      </c>
      <c r="F17" s="11" t="str">
        <f t="shared" si="3"/>
        <v>Kitten</v>
      </c>
      <c r="G17" s="1" t="s">
        <v>24</v>
      </c>
      <c r="H17" s="2" t="str">
        <f t="shared" si="4"/>
        <v>male</v>
      </c>
      <c r="I17" s="3" t="str">
        <f t="shared" si="5"/>
        <v>Male</v>
      </c>
      <c r="J17" s="1" t="b">
        <v>0</v>
      </c>
      <c r="K17" s="1">
        <v>31</v>
      </c>
      <c r="L17" s="1">
        <v>3.4</v>
      </c>
      <c r="M17" s="2">
        <f t="shared" si="15"/>
        <v>3.4</v>
      </c>
      <c r="N17" s="1" t="s">
        <v>19</v>
      </c>
      <c r="O17" s="1" t="str">
        <f t="shared" si="7"/>
        <v>white</v>
      </c>
      <c r="P17" s="2" t="str">
        <f t="shared" si="8"/>
        <v>White</v>
      </c>
      <c r="Q17" s="1" t="s">
        <v>20</v>
      </c>
      <c r="R17" s="2" t="str">
        <f t="shared" si="9"/>
        <v>Solid</v>
      </c>
      <c r="S17" s="1" t="s">
        <v>26</v>
      </c>
      <c r="T17" s="1" t="str">
        <f t="shared" si="10"/>
        <v>green</v>
      </c>
      <c r="U17" s="2" t="str">
        <f t="shared" si="11"/>
        <v>Green</v>
      </c>
      <c r="V17" s="1" t="b">
        <v>0</v>
      </c>
      <c r="W17" s="1" t="str">
        <f t="shared" si="12"/>
        <v>No</v>
      </c>
      <c r="X17" s="1" t="s">
        <v>37</v>
      </c>
      <c r="Y17" s="1" t="str">
        <f t="shared" si="13"/>
        <v>dry</v>
      </c>
      <c r="Z17" s="2" t="str">
        <f t="shared" si="14"/>
        <v>Dry</v>
      </c>
      <c r="AA17" s="1">
        <v>56</v>
      </c>
      <c r="AB17" s="1">
        <v>17</v>
      </c>
      <c r="AC17" s="1" t="s">
        <v>23</v>
      </c>
      <c r="AD17" s="2" t="str">
        <f t="shared" si="0"/>
        <v>France</v>
      </c>
      <c r="AE17" s="1">
        <v>48.864716000000001</v>
      </c>
      <c r="AF17" s="1">
        <v>2.3490139999999999</v>
      </c>
    </row>
    <row r="18" spans="1:32" x14ac:dyDescent="0.25">
      <c r="A18" s="1" t="s">
        <v>76</v>
      </c>
      <c r="B18" s="1" t="s">
        <v>76</v>
      </c>
      <c r="C18" s="1" t="s">
        <v>76</v>
      </c>
      <c r="D18" s="1" t="str">
        <f t="shared" si="1"/>
        <v>N/A</v>
      </c>
      <c r="F18" s="11" t="str">
        <f t="shared" si="3"/>
        <v>Kitten</v>
      </c>
      <c r="G18" s="1" t="s">
        <v>76</v>
      </c>
      <c r="H18" s="2" t="str">
        <f t="shared" si="4"/>
        <v>Unknown</v>
      </c>
      <c r="I18" s="3" t="str">
        <f t="shared" si="5"/>
        <v>Unknown</v>
      </c>
      <c r="J18" s="1" t="s">
        <v>76</v>
      </c>
      <c r="K18" s="1" t="s">
        <v>76</v>
      </c>
      <c r="L18" s="1" t="s">
        <v>76</v>
      </c>
      <c r="M18" s="2">
        <f t="shared" si="15"/>
        <v>0</v>
      </c>
      <c r="N18" s="1" t="s">
        <v>76</v>
      </c>
      <c r="O18" s="1" t="str">
        <f t="shared" si="7"/>
        <v>Unknown</v>
      </c>
      <c r="P18" s="2" t="str">
        <f t="shared" si="8"/>
        <v>Unknown</v>
      </c>
      <c r="Q18" s="1" t="s">
        <v>76</v>
      </c>
      <c r="R18" s="2" t="str">
        <f t="shared" si="9"/>
        <v>N/A</v>
      </c>
      <c r="S18" s="1" t="s">
        <v>26</v>
      </c>
      <c r="T18" s="1" t="str">
        <f t="shared" si="10"/>
        <v>green</v>
      </c>
      <c r="U18" s="2" t="str">
        <f t="shared" si="11"/>
        <v>Green</v>
      </c>
      <c r="V18" s="1" t="b">
        <v>0</v>
      </c>
      <c r="W18" s="1" t="str">
        <f t="shared" si="12"/>
        <v>No</v>
      </c>
      <c r="X18" s="1" t="s">
        <v>22</v>
      </c>
      <c r="Y18" s="1" t="str">
        <f t="shared" si="13"/>
        <v>wet</v>
      </c>
      <c r="Z18" s="2" t="str">
        <f t="shared" si="14"/>
        <v>Wet</v>
      </c>
      <c r="AA18" s="1">
        <v>48</v>
      </c>
      <c r="AB18" s="1">
        <v>14</v>
      </c>
      <c r="AC18" s="1" t="s">
        <v>51</v>
      </c>
      <c r="AD18" s="2" t="str">
        <f>PROPER(AC18)</f>
        <v>Unknown</v>
      </c>
      <c r="AE18" s="1">
        <v>47.218370999999998</v>
      </c>
      <c r="AF18" s="1">
        <v>-1.5536209999999999</v>
      </c>
    </row>
    <row r="19" spans="1:32" x14ac:dyDescent="0.25">
      <c r="A19" s="1" t="s">
        <v>76</v>
      </c>
      <c r="B19" s="1">
        <v>0.92</v>
      </c>
      <c r="C19" s="1">
        <v>11</v>
      </c>
      <c r="D19" s="1">
        <f t="shared" si="1"/>
        <v>11</v>
      </c>
      <c r="E19" s="2">
        <f t="shared" si="2"/>
        <v>11</v>
      </c>
      <c r="F19" s="11" t="str">
        <f t="shared" si="3"/>
        <v>Kitten</v>
      </c>
      <c r="G19" s="1" t="s">
        <v>18</v>
      </c>
      <c r="H19" s="2" t="str">
        <f t="shared" si="4"/>
        <v>female</v>
      </c>
      <c r="I19" s="3" t="str">
        <f t="shared" si="5"/>
        <v>Female</v>
      </c>
      <c r="J19" s="1" t="b">
        <v>1</v>
      </c>
      <c r="K19" s="1">
        <v>31</v>
      </c>
      <c r="L19" s="1">
        <v>3.9</v>
      </c>
      <c r="M19" s="2">
        <f t="shared" si="15"/>
        <v>3.9</v>
      </c>
      <c r="N19" s="1" t="s">
        <v>19</v>
      </c>
      <c r="O19" s="1" t="str">
        <f t="shared" si="7"/>
        <v>white</v>
      </c>
      <c r="P19" s="2" t="str">
        <f t="shared" si="8"/>
        <v>White</v>
      </c>
      <c r="Q19" s="1" t="s">
        <v>20</v>
      </c>
      <c r="R19" s="2" t="str">
        <f t="shared" si="9"/>
        <v>Solid</v>
      </c>
      <c r="S19" s="1" t="s">
        <v>76</v>
      </c>
      <c r="T19" s="1" t="str">
        <f t="shared" si="10"/>
        <v>Unknown</v>
      </c>
      <c r="U19" s="2" t="str">
        <f t="shared" si="11"/>
        <v>Unknown</v>
      </c>
      <c r="V19" s="1" t="s">
        <v>76</v>
      </c>
      <c r="W19" s="1" t="str">
        <f t="shared" si="12"/>
        <v>No</v>
      </c>
      <c r="X19" s="1" t="s">
        <v>22</v>
      </c>
      <c r="Y19" s="1" t="str">
        <f t="shared" si="13"/>
        <v>wet</v>
      </c>
      <c r="Z19" s="2" t="str">
        <f t="shared" si="14"/>
        <v>Wet</v>
      </c>
      <c r="AA19" s="1">
        <v>55</v>
      </c>
      <c r="AB19" s="1">
        <v>32</v>
      </c>
      <c r="AC19" s="1" t="s">
        <v>51</v>
      </c>
      <c r="AD19" s="2" t="str">
        <f t="shared" si="0"/>
        <v>Unknown</v>
      </c>
      <c r="AE19" s="1">
        <v>44.837789000000001</v>
      </c>
      <c r="AF19" s="1">
        <v>-0.57918000000000003</v>
      </c>
    </row>
    <row r="20" spans="1:32" x14ac:dyDescent="0.25">
      <c r="A20" s="1" t="s">
        <v>17</v>
      </c>
      <c r="B20" s="1">
        <v>-1</v>
      </c>
      <c r="C20" s="1">
        <v>-12</v>
      </c>
      <c r="D20" s="1">
        <f t="shared" si="1"/>
        <v>-12</v>
      </c>
      <c r="E20" s="2">
        <v>12</v>
      </c>
      <c r="F20" s="11" t="str">
        <f t="shared" si="3"/>
        <v>Kitten</v>
      </c>
      <c r="G20" s="1" t="s">
        <v>24</v>
      </c>
      <c r="H20" s="2" t="str">
        <f t="shared" si="4"/>
        <v>male</v>
      </c>
      <c r="I20" s="3" t="str">
        <f t="shared" si="5"/>
        <v>Male</v>
      </c>
      <c r="J20" s="1" t="s">
        <v>76</v>
      </c>
      <c r="K20" s="1">
        <v>31</v>
      </c>
      <c r="L20" s="1">
        <v>3.5</v>
      </c>
      <c r="M20" s="2">
        <f t="shared" si="15"/>
        <v>3.5</v>
      </c>
      <c r="N20" s="1" t="s">
        <v>19</v>
      </c>
      <c r="O20" s="1" t="str">
        <f t="shared" si="7"/>
        <v>white</v>
      </c>
      <c r="P20" s="2" t="str">
        <f t="shared" si="8"/>
        <v>White</v>
      </c>
      <c r="Q20" s="1" t="s">
        <v>20</v>
      </c>
      <c r="R20" s="2" t="str">
        <f t="shared" si="9"/>
        <v>Solid</v>
      </c>
      <c r="S20" s="1" t="s">
        <v>21</v>
      </c>
      <c r="T20" s="1" t="str">
        <f t="shared" si="10"/>
        <v>blue</v>
      </c>
      <c r="U20" s="2" t="str">
        <f t="shared" si="11"/>
        <v>Blue</v>
      </c>
      <c r="V20" s="1" t="b">
        <v>1</v>
      </c>
      <c r="W20" s="1" t="str">
        <f t="shared" si="12"/>
        <v>Yes</v>
      </c>
      <c r="X20" s="1" t="s">
        <v>22</v>
      </c>
      <c r="Y20" s="1" t="str">
        <f t="shared" si="13"/>
        <v>wet</v>
      </c>
      <c r="Z20" s="2" t="str">
        <f t="shared" si="14"/>
        <v>Wet</v>
      </c>
      <c r="AA20" s="1">
        <v>42</v>
      </c>
      <c r="AB20" s="1">
        <v>14</v>
      </c>
      <c r="AC20" s="1" t="s">
        <v>51</v>
      </c>
      <c r="AD20" s="2" t="str">
        <f t="shared" si="0"/>
        <v>Unknown</v>
      </c>
      <c r="AE20" s="1">
        <v>43.296481999999997</v>
      </c>
      <c r="AF20" s="1">
        <v>5.3697800000000004</v>
      </c>
    </row>
    <row r="21" spans="1:32" x14ac:dyDescent="0.25">
      <c r="A21" s="1" t="s">
        <v>17</v>
      </c>
      <c r="B21" s="1">
        <v>1</v>
      </c>
      <c r="C21" s="1">
        <v>12</v>
      </c>
      <c r="D21" s="1">
        <f t="shared" si="1"/>
        <v>12</v>
      </c>
      <c r="E21" s="2">
        <f t="shared" si="2"/>
        <v>12</v>
      </c>
      <c r="F21" s="11" t="str">
        <f t="shared" si="3"/>
        <v>Kitten</v>
      </c>
      <c r="G21" s="1" t="s">
        <v>24</v>
      </c>
      <c r="H21" s="2" t="str">
        <f t="shared" si="4"/>
        <v>male</v>
      </c>
      <c r="I21" s="3" t="str">
        <f t="shared" si="5"/>
        <v>Male</v>
      </c>
      <c r="J21" s="1" t="s">
        <v>76</v>
      </c>
      <c r="K21" s="1">
        <v>35</v>
      </c>
      <c r="L21" s="1">
        <v>3.9</v>
      </c>
      <c r="M21" s="2">
        <f t="shared" si="15"/>
        <v>3.9</v>
      </c>
      <c r="N21" s="1" t="s">
        <v>19</v>
      </c>
      <c r="O21" s="1" t="str">
        <f t="shared" si="7"/>
        <v>white</v>
      </c>
      <c r="P21" s="2" t="str">
        <f t="shared" si="8"/>
        <v>White</v>
      </c>
      <c r="Q21" s="1" t="s">
        <v>20</v>
      </c>
      <c r="R21" s="2" t="str">
        <f t="shared" si="9"/>
        <v>Solid</v>
      </c>
      <c r="S21" s="1" t="s">
        <v>33</v>
      </c>
      <c r="T21" s="1" t="str">
        <f t="shared" si="10"/>
        <v>amber</v>
      </c>
      <c r="U21" s="2" t="str">
        <f t="shared" si="11"/>
        <v>Amber</v>
      </c>
      <c r="V21" s="1" t="b">
        <v>0</v>
      </c>
      <c r="W21" s="1" t="str">
        <f t="shared" si="12"/>
        <v>No</v>
      </c>
      <c r="X21" s="1" t="s">
        <v>22</v>
      </c>
      <c r="Y21" s="1" t="str">
        <f t="shared" si="13"/>
        <v>wet</v>
      </c>
      <c r="Z21" s="2" t="str">
        <f t="shared" si="14"/>
        <v>Wet</v>
      </c>
      <c r="AA21" s="1">
        <v>41</v>
      </c>
      <c r="AB21" s="1">
        <v>17</v>
      </c>
      <c r="AC21" s="1" t="s">
        <v>51</v>
      </c>
      <c r="AD21" s="2" t="str">
        <f t="shared" si="0"/>
        <v>Unknown</v>
      </c>
      <c r="AE21" s="1">
        <v>45.763420000000004</v>
      </c>
      <c r="AF21" s="1">
        <v>4.8342770000000002</v>
      </c>
    </row>
    <row r="22" spans="1:32" x14ac:dyDescent="0.25">
      <c r="A22" s="1" t="s">
        <v>17</v>
      </c>
      <c r="B22" s="1">
        <v>4.33</v>
      </c>
      <c r="C22" s="1" t="s">
        <v>76</v>
      </c>
      <c r="D22" s="1" t="str">
        <f t="shared" si="1"/>
        <v>N/A</v>
      </c>
      <c r="F22" s="11" t="str">
        <f t="shared" si="3"/>
        <v>Kitten</v>
      </c>
      <c r="G22" s="1" t="s">
        <v>24</v>
      </c>
      <c r="H22" s="2" t="str">
        <f t="shared" si="4"/>
        <v>male</v>
      </c>
      <c r="I22" s="3" t="str">
        <f t="shared" si="5"/>
        <v>Male</v>
      </c>
      <c r="J22" s="1" t="s">
        <v>76</v>
      </c>
      <c r="K22" s="1">
        <v>25</v>
      </c>
      <c r="L22" s="1">
        <v>4</v>
      </c>
      <c r="M22" s="2">
        <f t="shared" si="15"/>
        <v>4</v>
      </c>
      <c r="N22" s="1" t="s">
        <v>19</v>
      </c>
      <c r="O22" s="1" t="str">
        <f t="shared" si="7"/>
        <v>white</v>
      </c>
      <c r="P22" s="2" t="str">
        <f t="shared" si="8"/>
        <v>White</v>
      </c>
      <c r="Q22" s="1" t="s">
        <v>20</v>
      </c>
      <c r="R22" s="2" t="str">
        <f t="shared" si="9"/>
        <v>Solid</v>
      </c>
      <c r="S22" s="1" t="s">
        <v>21</v>
      </c>
      <c r="T22" s="1" t="str">
        <f t="shared" si="10"/>
        <v>blue</v>
      </c>
      <c r="U22" s="2" t="str">
        <f t="shared" si="11"/>
        <v>Blue</v>
      </c>
      <c r="V22" s="1" t="b">
        <v>0</v>
      </c>
      <c r="W22" s="1" t="str">
        <f t="shared" si="12"/>
        <v>No</v>
      </c>
      <c r="X22" s="1" t="s">
        <v>37</v>
      </c>
      <c r="Y22" s="1" t="str">
        <f t="shared" si="13"/>
        <v>dry</v>
      </c>
      <c r="Z22" s="2" t="str">
        <f t="shared" si="14"/>
        <v>Dry</v>
      </c>
      <c r="AA22" s="1">
        <v>36</v>
      </c>
      <c r="AB22" s="1">
        <v>14</v>
      </c>
      <c r="AC22" s="1" t="s">
        <v>23</v>
      </c>
      <c r="AD22" s="2" t="str">
        <f t="shared" si="0"/>
        <v>France</v>
      </c>
      <c r="AE22" s="1">
        <v>44.837789000000001</v>
      </c>
      <c r="AF22" s="1">
        <v>-0.57918000000000003</v>
      </c>
    </row>
    <row r="23" spans="1:32" x14ac:dyDescent="0.25">
      <c r="A23" s="1" t="s">
        <v>38</v>
      </c>
      <c r="B23" s="1">
        <v>1.17</v>
      </c>
      <c r="C23" s="1" t="s">
        <v>76</v>
      </c>
      <c r="D23" s="1" t="str">
        <f t="shared" si="1"/>
        <v>N/A</v>
      </c>
      <c r="F23" s="11" t="str">
        <f t="shared" si="3"/>
        <v>Kitten</v>
      </c>
      <c r="G23" s="1" t="s">
        <v>18</v>
      </c>
      <c r="H23" s="2" t="str">
        <f t="shared" si="4"/>
        <v>female</v>
      </c>
      <c r="I23" s="3" t="str">
        <f t="shared" si="5"/>
        <v>Female</v>
      </c>
      <c r="J23" s="1" t="s">
        <v>76</v>
      </c>
      <c r="K23" s="1">
        <v>34</v>
      </c>
      <c r="L23" s="1">
        <v>3.8</v>
      </c>
      <c r="M23" s="2">
        <f t="shared" si="15"/>
        <v>3.8</v>
      </c>
      <c r="N23" s="1" t="s">
        <v>19</v>
      </c>
      <c r="O23" s="1" t="str">
        <f t="shared" si="7"/>
        <v>white</v>
      </c>
      <c r="P23" s="2" t="str">
        <f t="shared" si="8"/>
        <v>White</v>
      </c>
      <c r="Q23" s="1" t="s">
        <v>20</v>
      </c>
      <c r="R23" s="2" t="str">
        <f t="shared" si="9"/>
        <v>Solid</v>
      </c>
      <c r="S23" s="1" t="s">
        <v>21</v>
      </c>
      <c r="T23" s="1" t="str">
        <f t="shared" si="10"/>
        <v>blue</v>
      </c>
      <c r="U23" s="2" t="str">
        <f t="shared" si="11"/>
        <v>Blue</v>
      </c>
      <c r="V23" s="1" t="b">
        <v>1</v>
      </c>
      <c r="W23" s="1" t="str">
        <f t="shared" si="12"/>
        <v>Yes</v>
      </c>
      <c r="X23" s="1" t="s">
        <v>22</v>
      </c>
      <c r="Y23" s="1" t="str">
        <f t="shared" si="13"/>
        <v>wet</v>
      </c>
      <c r="Z23" s="2" t="str">
        <f t="shared" si="14"/>
        <v>Wet</v>
      </c>
      <c r="AA23" s="1">
        <v>23</v>
      </c>
      <c r="AB23" s="1">
        <v>17</v>
      </c>
      <c r="AC23" s="1" t="s">
        <v>23</v>
      </c>
      <c r="AD23" s="2" t="str">
        <f t="shared" si="0"/>
        <v>France</v>
      </c>
      <c r="AE23" s="1">
        <v>48.864716000000001</v>
      </c>
      <c r="AF23" s="1">
        <v>2.3490139999999999</v>
      </c>
    </row>
    <row r="24" spans="1:32" x14ac:dyDescent="0.25">
      <c r="A24" s="1" t="s">
        <v>28</v>
      </c>
      <c r="B24" s="1">
        <v>3</v>
      </c>
      <c r="C24" s="1" t="s">
        <v>76</v>
      </c>
      <c r="D24" s="1" t="str">
        <f t="shared" si="1"/>
        <v>N/A</v>
      </c>
      <c r="F24" s="11" t="str">
        <f t="shared" si="3"/>
        <v>Kitten</v>
      </c>
      <c r="G24" s="1" t="s">
        <v>24</v>
      </c>
      <c r="H24" s="2" t="str">
        <f t="shared" si="4"/>
        <v>male</v>
      </c>
      <c r="I24" s="3" t="str">
        <f t="shared" si="5"/>
        <v>Male</v>
      </c>
      <c r="J24" s="1" t="b">
        <v>1</v>
      </c>
      <c r="K24" s="1">
        <v>38</v>
      </c>
      <c r="L24" s="1">
        <v>5</v>
      </c>
      <c r="M24" s="2">
        <f t="shared" si="15"/>
        <v>5</v>
      </c>
      <c r="N24" s="1" t="s">
        <v>19</v>
      </c>
      <c r="O24" s="1" t="str">
        <f t="shared" si="7"/>
        <v>white</v>
      </c>
      <c r="P24" s="2" t="str">
        <f t="shared" si="8"/>
        <v>White</v>
      </c>
      <c r="Q24" s="1" t="s">
        <v>20</v>
      </c>
      <c r="R24" s="2" t="str">
        <f t="shared" si="9"/>
        <v>Solid</v>
      </c>
      <c r="S24" s="1" t="s">
        <v>33</v>
      </c>
      <c r="T24" s="1" t="str">
        <f t="shared" si="10"/>
        <v>amber</v>
      </c>
      <c r="U24" s="2" t="str">
        <f t="shared" si="11"/>
        <v>Amber</v>
      </c>
      <c r="V24" s="1" t="b">
        <v>0</v>
      </c>
      <c r="W24" s="1" t="str">
        <f t="shared" si="12"/>
        <v>No</v>
      </c>
      <c r="X24" s="1" t="s">
        <v>22</v>
      </c>
      <c r="Y24" s="1" t="str">
        <f t="shared" si="13"/>
        <v>wet</v>
      </c>
      <c r="Z24" s="2" t="str">
        <f t="shared" si="14"/>
        <v>Wet</v>
      </c>
      <c r="AA24" s="1">
        <v>16</v>
      </c>
      <c r="AB24" s="1">
        <v>14</v>
      </c>
      <c r="AC24" s="1" t="s">
        <v>23</v>
      </c>
      <c r="AD24" s="2" t="str">
        <f t="shared" si="0"/>
        <v>France</v>
      </c>
      <c r="AE24" s="1">
        <v>43.296481999999997</v>
      </c>
      <c r="AF24" s="1">
        <v>5.3697800000000004</v>
      </c>
    </row>
    <row r="25" spans="1:32" x14ac:dyDescent="0.25">
      <c r="A25" s="1" t="s">
        <v>28</v>
      </c>
      <c r="B25" s="1">
        <v>1.17</v>
      </c>
      <c r="C25" s="1" t="s">
        <v>76</v>
      </c>
      <c r="D25" s="1" t="str">
        <f t="shared" si="1"/>
        <v>N/A</v>
      </c>
      <c r="F25" s="11" t="str">
        <f t="shared" si="3"/>
        <v>Kitten</v>
      </c>
      <c r="G25" s="1" t="s">
        <v>18</v>
      </c>
      <c r="H25" s="2" t="str">
        <f t="shared" si="4"/>
        <v>female</v>
      </c>
      <c r="I25" s="3" t="str">
        <f t="shared" si="5"/>
        <v>Female</v>
      </c>
      <c r="J25" s="1" t="b">
        <v>1</v>
      </c>
      <c r="K25" s="1">
        <v>25</v>
      </c>
      <c r="L25" s="1">
        <v>3</v>
      </c>
      <c r="M25" s="2">
        <f t="shared" si="15"/>
        <v>3</v>
      </c>
      <c r="N25" s="1" t="s">
        <v>19</v>
      </c>
      <c r="O25" s="1" t="str">
        <f t="shared" si="7"/>
        <v>white</v>
      </c>
      <c r="P25" s="2" t="str">
        <f t="shared" si="8"/>
        <v>White</v>
      </c>
      <c r="Q25" s="1" t="s">
        <v>20</v>
      </c>
      <c r="R25" s="2" t="str">
        <f t="shared" si="9"/>
        <v>Solid</v>
      </c>
      <c r="S25" s="1" t="s">
        <v>33</v>
      </c>
      <c r="T25" s="1" t="str">
        <f t="shared" si="10"/>
        <v>amber</v>
      </c>
      <c r="U25" s="2" t="str">
        <f t="shared" si="11"/>
        <v>Amber</v>
      </c>
      <c r="V25" s="1" t="b">
        <v>0</v>
      </c>
      <c r="W25" s="1" t="str">
        <f t="shared" si="12"/>
        <v>No</v>
      </c>
      <c r="X25" s="1" t="s">
        <v>22</v>
      </c>
      <c r="Y25" s="1" t="str">
        <f t="shared" si="13"/>
        <v>wet</v>
      </c>
      <c r="Z25" s="2" t="str">
        <f t="shared" si="14"/>
        <v>Wet</v>
      </c>
      <c r="AA25" s="1">
        <v>19</v>
      </c>
      <c r="AB25" s="1">
        <v>17</v>
      </c>
      <c r="AC25" s="1" t="s">
        <v>23</v>
      </c>
      <c r="AD25" s="2" t="str">
        <f t="shared" si="0"/>
        <v>France</v>
      </c>
      <c r="AE25" s="1">
        <v>45.763420000000004</v>
      </c>
      <c r="AF25" s="1">
        <v>4.8342770000000002</v>
      </c>
    </row>
    <row r="26" spans="1:32" x14ac:dyDescent="0.25">
      <c r="A26" s="1" t="s">
        <v>17</v>
      </c>
      <c r="B26" s="1">
        <v>4</v>
      </c>
      <c r="C26" s="1" t="s">
        <v>76</v>
      </c>
      <c r="D26" s="1" t="str">
        <f t="shared" si="1"/>
        <v>N/A</v>
      </c>
      <c r="F26" s="11" t="str">
        <f t="shared" si="3"/>
        <v>Kitten</v>
      </c>
      <c r="G26" s="1" t="s">
        <v>24</v>
      </c>
      <c r="H26" s="2" t="str">
        <f t="shared" si="4"/>
        <v>male</v>
      </c>
      <c r="I26" s="3" t="str">
        <f t="shared" si="5"/>
        <v>Male</v>
      </c>
      <c r="J26" s="1" t="b">
        <v>1</v>
      </c>
      <c r="K26" s="1">
        <v>39</v>
      </c>
      <c r="L26" s="1">
        <v>4.5999999999999996</v>
      </c>
      <c r="M26" s="2">
        <f t="shared" si="15"/>
        <v>4.5999999999999996</v>
      </c>
      <c r="N26" s="1" t="s">
        <v>19</v>
      </c>
      <c r="O26" s="1" t="str">
        <f t="shared" si="7"/>
        <v>white</v>
      </c>
      <c r="P26" s="2" t="str">
        <f t="shared" si="8"/>
        <v>White</v>
      </c>
      <c r="Q26" s="1" t="s">
        <v>29</v>
      </c>
      <c r="R26" s="2" t="str">
        <f t="shared" si="9"/>
        <v>Dirty</v>
      </c>
      <c r="S26" s="1" t="s">
        <v>35</v>
      </c>
      <c r="T26" s="1" t="str">
        <f t="shared" si="10"/>
        <v>Unknown</v>
      </c>
      <c r="U26" s="2" t="str">
        <f t="shared" si="11"/>
        <v>Unknown</v>
      </c>
      <c r="V26" s="1" t="b">
        <v>0</v>
      </c>
      <c r="W26" s="1" t="str">
        <f t="shared" si="12"/>
        <v>No</v>
      </c>
      <c r="X26" s="1" t="s">
        <v>22</v>
      </c>
      <c r="Y26" s="1" t="str">
        <f t="shared" si="13"/>
        <v>wet</v>
      </c>
      <c r="Z26" s="2" t="str">
        <f t="shared" si="14"/>
        <v>Wet</v>
      </c>
      <c r="AA26" s="1">
        <v>33</v>
      </c>
      <c r="AB26" s="1">
        <v>14</v>
      </c>
      <c r="AC26" s="1" t="s">
        <v>23</v>
      </c>
      <c r="AD26" s="2" t="str">
        <f>PROPER(AC26)</f>
        <v>France</v>
      </c>
      <c r="AE26" s="1">
        <v>45.763420000000004</v>
      </c>
      <c r="AF26" s="1">
        <v>4.8342770000000002</v>
      </c>
    </row>
    <row r="27" spans="1:32" x14ac:dyDescent="0.25">
      <c r="A27" s="1" t="s">
        <v>17</v>
      </c>
      <c r="B27" s="1">
        <v>5.83</v>
      </c>
      <c r="C27" s="1" t="s">
        <v>76</v>
      </c>
      <c r="D27" s="1" t="str">
        <f t="shared" si="1"/>
        <v>N/A</v>
      </c>
      <c r="F27" s="11" t="str">
        <f t="shared" si="3"/>
        <v>Kitten</v>
      </c>
      <c r="G27" s="1" t="s">
        <v>24</v>
      </c>
      <c r="H27" s="2" t="str">
        <f t="shared" si="4"/>
        <v>male</v>
      </c>
      <c r="I27" s="3" t="str">
        <f t="shared" si="5"/>
        <v>Male</v>
      </c>
      <c r="J27" s="1" t="b">
        <v>1</v>
      </c>
      <c r="K27" s="1">
        <v>37</v>
      </c>
      <c r="L27" s="1">
        <v>4.5999999999999996</v>
      </c>
      <c r="M27" s="2">
        <f t="shared" si="15"/>
        <v>4.5999999999999996</v>
      </c>
      <c r="N27" s="1" t="s">
        <v>36</v>
      </c>
      <c r="O27" s="1" t="str">
        <f t="shared" si="7"/>
        <v>black</v>
      </c>
      <c r="P27" s="2" t="str">
        <f t="shared" si="8"/>
        <v>Black</v>
      </c>
      <c r="Q27" s="1" t="s">
        <v>20</v>
      </c>
      <c r="R27" s="2" t="str">
        <f t="shared" si="9"/>
        <v>Solid</v>
      </c>
      <c r="S27" s="1" t="s">
        <v>26</v>
      </c>
      <c r="T27" s="1" t="str">
        <f t="shared" si="10"/>
        <v>green</v>
      </c>
      <c r="U27" s="2" t="str">
        <f t="shared" si="11"/>
        <v>Green</v>
      </c>
      <c r="V27" s="1" t="b">
        <v>1</v>
      </c>
      <c r="W27" s="1" t="str">
        <f t="shared" si="12"/>
        <v>Yes</v>
      </c>
      <c r="X27" s="1" t="s">
        <v>37</v>
      </c>
      <c r="Y27" s="1" t="str">
        <f t="shared" si="13"/>
        <v>dry</v>
      </c>
      <c r="Z27" s="2" t="str">
        <f t="shared" si="14"/>
        <v>Dry</v>
      </c>
      <c r="AA27" s="1">
        <v>9</v>
      </c>
      <c r="AB27" s="1">
        <v>16</v>
      </c>
      <c r="AC27" s="1" t="s">
        <v>23</v>
      </c>
      <c r="AD27" s="2" t="str">
        <f t="shared" si="0"/>
        <v>France</v>
      </c>
      <c r="AE27" s="1">
        <v>48.864716000000001</v>
      </c>
      <c r="AF27" s="1">
        <v>2.3490139999999999</v>
      </c>
    </row>
    <row r="28" spans="1:32" x14ac:dyDescent="0.25">
      <c r="A28" s="1" t="s">
        <v>17</v>
      </c>
      <c r="B28" s="1">
        <v>1.25</v>
      </c>
      <c r="C28" s="1">
        <v>15</v>
      </c>
      <c r="D28" s="1">
        <f t="shared" si="1"/>
        <v>15</v>
      </c>
      <c r="E28" s="2">
        <f t="shared" si="2"/>
        <v>15</v>
      </c>
      <c r="F28" s="11" t="str">
        <f t="shared" si="3"/>
        <v>Young</v>
      </c>
      <c r="G28" s="1" t="s">
        <v>18</v>
      </c>
      <c r="H28" s="2" t="str">
        <f t="shared" si="4"/>
        <v>female</v>
      </c>
      <c r="I28" s="3" t="str">
        <f t="shared" si="5"/>
        <v>Female</v>
      </c>
      <c r="J28" s="1" t="b">
        <v>1</v>
      </c>
      <c r="K28" s="1">
        <v>26</v>
      </c>
      <c r="L28" s="1">
        <v>3.4</v>
      </c>
      <c r="M28" s="2">
        <f t="shared" si="15"/>
        <v>3.4</v>
      </c>
      <c r="N28" s="1" t="s">
        <v>19</v>
      </c>
      <c r="O28" s="1" t="str">
        <f t="shared" si="7"/>
        <v>white</v>
      </c>
      <c r="P28" s="2" t="str">
        <f t="shared" si="8"/>
        <v>White</v>
      </c>
      <c r="Q28" s="1" t="s">
        <v>20</v>
      </c>
      <c r="R28" s="2" t="str">
        <f t="shared" si="9"/>
        <v>Solid</v>
      </c>
      <c r="S28" s="1" t="s">
        <v>21</v>
      </c>
      <c r="T28" s="1" t="str">
        <f t="shared" si="10"/>
        <v>blue</v>
      </c>
      <c r="U28" s="2" t="str">
        <f t="shared" si="11"/>
        <v>Blue</v>
      </c>
      <c r="V28" s="1" t="b">
        <v>0</v>
      </c>
      <c r="W28" s="1" t="str">
        <f t="shared" si="12"/>
        <v>No</v>
      </c>
      <c r="X28" s="1" t="s">
        <v>22</v>
      </c>
      <c r="Y28" s="1" t="str">
        <f t="shared" si="13"/>
        <v>wet</v>
      </c>
      <c r="Z28" s="2" t="str">
        <f t="shared" si="14"/>
        <v>Wet</v>
      </c>
      <c r="AA28" s="1">
        <v>25</v>
      </c>
      <c r="AB28" s="1">
        <v>15</v>
      </c>
      <c r="AC28" s="1" t="s">
        <v>23</v>
      </c>
      <c r="AD28" s="2" t="str">
        <f t="shared" si="0"/>
        <v>France</v>
      </c>
      <c r="AE28" s="1">
        <v>43.296481999999997</v>
      </c>
      <c r="AF28" s="1">
        <v>5.3697800000000004</v>
      </c>
    </row>
    <row r="29" spans="1:32" x14ac:dyDescent="0.25">
      <c r="A29" s="1" t="s">
        <v>17</v>
      </c>
      <c r="B29" s="1">
        <v>5.33</v>
      </c>
      <c r="C29" s="1">
        <v>64</v>
      </c>
      <c r="D29" s="1">
        <f t="shared" si="1"/>
        <v>64</v>
      </c>
      <c r="E29" s="2">
        <f t="shared" si="2"/>
        <v>64</v>
      </c>
      <c r="F29" s="11" t="str">
        <f t="shared" si="3"/>
        <v>Senior</v>
      </c>
      <c r="G29" s="1" t="s">
        <v>24</v>
      </c>
      <c r="H29" s="2" t="str">
        <f t="shared" si="4"/>
        <v>male</v>
      </c>
      <c r="I29" s="3" t="str">
        <f t="shared" si="5"/>
        <v>Male</v>
      </c>
      <c r="J29" s="1" t="b">
        <v>1</v>
      </c>
      <c r="K29" s="1">
        <v>44</v>
      </c>
      <c r="L29" s="1">
        <v>4.5999999999999996</v>
      </c>
      <c r="M29" s="2">
        <f t="shared" si="15"/>
        <v>4.5999999999999996</v>
      </c>
      <c r="N29" s="1" t="s">
        <v>19</v>
      </c>
      <c r="O29" s="1" t="str">
        <f t="shared" si="7"/>
        <v>white</v>
      </c>
      <c r="P29" s="2" t="str">
        <f t="shared" si="8"/>
        <v>White</v>
      </c>
      <c r="Q29" s="1" t="s">
        <v>20</v>
      </c>
      <c r="R29" s="2" t="str">
        <f t="shared" si="9"/>
        <v>Solid</v>
      </c>
      <c r="S29" s="1" t="s">
        <v>21</v>
      </c>
      <c r="T29" s="1" t="str">
        <f t="shared" si="10"/>
        <v>blue</v>
      </c>
      <c r="U29" s="2" t="str">
        <f t="shared" si="11"/>
        <v>Blue</v>
      </c>
      <c r="V29" s="1" t="b">
        <v>1</v>
      </c>
      <c r="W29" s="1" t="str">
        <f t="shared" si="12"/>
        <v>Yes</v>
      </c>
      <c r="X29" s="1" t="s">
        <v>22</v>
      </c>
      <c r="Y29" s="1" t="str">
        <f t="shared" si="13"/>
        <v>wet</v>
      </c>
      <c r="Z29" s="2" t="str">
        <f t="shared" si="14"/>
        <v>Wet</v>
      </c>
      <c r="AA29" s="1">
        <v>20</v>
      </c>
      <c r="AB29" s="1">
        <v>16</v>
      </c>
      <c r="AC29" s="1" t="s">
        <v>23</v>
      </c>
      <c r="AD29" s="2" t="str">
        <f t="shared" si="0"/>
        <v>France</v>
      </c>
      <c r="AE29" s="1">
        <v>44.837789000000001</v>
      </c>
      <c r="AF29" s="1">
        <v>-0.57918000000000003</v>
      </c>
    </row>
    <row r="30" spans="1:32" x14ac:dyDescent="0.25">
      <c r="A30" s="1" t="s">
        <v>17</v>
      </c>
      <c r="B30" s="1" t="s">
        <v>76</v>
      </c>
      <c r="C30" s="1">
        <v>15</v>
      </c>
      <c r="D30" s="1">
        <f t="shared" si="1"/>
        <v>15</v>
      </c>
      <c r="E30" s="2">
        <f t="shared" si="2"/>
        <v>15</v>
      </c>
      <c r="F30" s="11" t="str">
        <f t="shared" si="3"/>
        <v>Young</v>
      </c>
      <c r="G30" s="1" t="s">
        <v>24</v>
      </c>
      <c r="H30" s="2" t="str">
        <f t="shared" si="4"/>
        <v>male</v>
      </c>
      <c r="I30" s="3" t="str">
        <f t="shared" si="5"/>
        <v>Male</v>
      </c>
      <c r="J30" s="1" t="b">
        <v>1</v>
      </c>
      <c r="K30" s="1">
        <v>40</v>
      </c>
      <c r="L30" s="1">
        <v>3.8</v>
      </c>
      <c r="M30" s="2">
        <f t="shared" si="15"/>
        <v>3.8</v>
      </c>
      <c r="N30" s="1" t="s">
        <v>30</v>
      </c>
      <c r="O30" s="1" t="str">
        <f t="shared" si="7"/>
        <v>red/cream</v>
      </c>
      <c r="P30" s="2" t="str">
        <f t="shared" si="8"/>
        <v>Red/Cream</v>
      </c>
      <c r="Q30" s="1" t="s">
        <v>31</v>
      </c>
      <c r="R30" s="2" t="str">
        <f t="shared" si="9"/>
        <v>Tabby</v>
      </c>
      <c r="S30" s="1" t="s">
        <v>21</v>
      </c>
      <c r="T30" s="1" t="str">
        <f t="shared" si="10"/>
        <v>blue</v>
      </c>
      <c r="U30" s="2" t="str">
        <f t="shared" si="11"/>
        <v>Blue</v>
      </c>
      <c r="V30" s="1" t="b">
        <v>0</v>
      </c>
      <c r="W30" s="1" t="str">
        <f t="shared" si="12"/>
        <v>No</v>
      </c>
      <c r="X30" s="1" t="s">
        <v>22</v>
      </c>
      <c r="Y30" s="1" t="str">
        <f t="shared" si="13"/>
        <v>wet</v>
      </c>
      <c r="Z30" s="2" t="str">
        <f t="shared" si="14"/>
        <v>Wet</v>
      </c>
      <c r="AA30" s="1">
        <v>35</v>
      </c>
      <c r="AB30" s="1">
        <v>17</v>
      </c>
      <c r="AC30" s="1" t="s">
        <v>23</v>
      </c>
      <c r="AD30" s="2" t="str">
        <f t="shared" si="0"/>
        <v>France</v>
      </c>
      <c r="AE30" s="1">
        <v>45.763420000000004</v>
      </c>
      <c r="AF30" s="1">
        <v>4.8342770000000002</v>
      </c>
    </row>
    <row r="31" spans="1:32" x14ac:dyDescent="0.25">
      <c r="A31" s="1" t="s">
        <v>17</v>
      </c>
      <c r="B31" s="1" t="s">
        <v>76</v>
      </c>
      <c r="C31" s="1">
        <v>59</v>
      </c>
      <c r="D31" s="1">
        <f t="shared" si="1"/>
        <v>59</v>
      </c>
      <c r="E31" s="2">
        <f t="shared" si="2"/>
        <v>59</v>
      </c>
      <c r="F31" s="11" t="str">
        <f t="shared" si="3"/>
        <v>Adult</v>
      </c>
      <c r="G31" s="1" t="s">
        <v>24</v>
      </c>
      <c r="H31" s="2" t="str">
        <f t="shared" si="4"/>
        <v>male</v>
      </c>
      <c r="I31" s="3" t="str">
        <f t="shared" si="5"/>
        <v>Male</v>
      </c>
      <c r="J31" s="1" t="b">
        <v>0</v>
      </c>
      <c r="K31" s="1">
        <v>41</v>
      </c>
      <c r="L31" s="1">
        <v>5</v>
      </c>
      <c r="M31" s="2">
        <f t="shared" si="15"/>
        <v>5</v>
      </c>
      <c r="N31" s="1" t="s">
        <v>36</v>
      </c>
      <c r="O31" s="1" t="str">
        <f t="shared" si="7"/>
        <v>black</v>
      </c>
      <c r="P31" s="2" t="str">
        <f t="shared" si="8"/>
        <v>Black</v>
      </c>
      <c r="Q31" s="1" t="s">
        <v>20</v>
      </c>
      <c r="R31" s="2" t="str">
        <f t="shared" si="9"/>
        <v>Solid</v>
      </c>
      <c r="S31" s="1" t="s">
        <v>26</v>
      </c>
      <c r="T31" s="1" t="str">
        <f t="shared" si="10"/>
        <v>green</v>
      </c>
      <c r="U31" s="2" t="str">
        <f t="shared" si="11"/>
        <v>Green</v>
      </c>
      <c r="V31" s="1" t="b">
        <v>0</v>
      </c>
      <c r="W31" s="1" t="str">
        <f t="shared" si="12"/>
        <v>No</v>
      </c>
      <c r="X31" s="1" t="s">
        <v>37</v>
      </c>
      <c r="Y31" s="1" t="str">
        <f t="shared" si="13"/>
        <v>dry</v>
      </c>
      <c r="Z31" s="2" t="str">
        <f t="shared" si="14"/>
        <v>Dry</v>
      </c>
      <c r="AA31" s="1">
        <v>31</v>
      </c>
      <c r="AB31" s="1">
        <v>14</v>
      </c>
      <c r="AC31" s="1" t="s">
        <v>23</v>
      </c>
      <c r="AD31" s="2" t="str">
        <f t="shared" si="0"/>
        <v>France</v>
      </c>
      <c r="AE31" s="1">
        <v>47.218370999999998</v>
      </c>
      <c r="AF31" s="1">
        <v>-1.5536209999999999</v>
      </c>
    </row>
    <row r="32" spans="1:32" x14ac:dyDescent="0.25">
      <c r="A32" s="1" t="s">
        <v>17</v>
      </c>
      <c r="B32" s="1" t="s">
        <v>76</v>
      </c>
      <c r="C32" s="1">
        <v>18</v>
      </c>
      <c r="D32" s="1">
        <f t="shared" si="1"/>
        <v>18</v>
      </c>
      <c r="E32" s="2">
        <f t="shared" si="2"/>
        <v>18</v>
      </c>
      <c r="F32" s="11" t="str">
        <f t="shared" si="3"/>
        <v>Young</v>
      </c>
      <c r="G32" s="1" t="s">
        <v>24</v>
      </c>
      <c r="H32" s="2" t="str">
        <f t="shared" si="4"/>
        <v>male</v>
      </c>
      <c r="I32" s="3" t="str">
        <f t="shared" si="5"/>
        <v>Male</v>
      </c>
      <c r="J32" s="1" t="b">
        <v>0</v>
      </c>
      <c r="K32" s="1">
        <v>40</v>
      </c>
      <c r="L32" s="1">
        <v>3.6</v>
      </c>
      <c r="M32" s="2">
        <f t="shared" si="15"/>
        <v>3.6</v>
      </c>
      <c r="N32" s="1" t="s">
        <v>19</v>
      </c>
      <c r="O32" s="1" t="str">
        <f t="shared" si="7"/>
        <v>white</v>
      </c>
      <c r="P32" s="2" t="str">
        <f t="shared" si="8"/>
        <v>White</v>
      </c>
      <c r="Q32" s="1" t="s">
        <v>20</v>
      </c>
      <c r="R32" s="2" t="str">
        <f t="shared" si="9"/>
        <v>Solid</v>
      </c>
      <c r="S32" s="1" t="s">
        <v>76</v>
      </c>
      <c r="T32" s="1" t="str">
        <f t="shared" si="10"/>
        <v>Unknown</v>
      </c>
      <c r="U32" s="2" t="str">
        <f t="shared" si="11"/>
        <v>Unknown</v>
      </c>
      <c r="V32" s="1" t="b">
        <v>0</v>
      </c>
      <c r="W32" s="1" t="str">
        <f t="shared" si="12"/>
        <v>No</v>
      </c>
      <c r="X32" s="1" t="s">
        <v>22</v>
      </c>
      <c r="Y32" s="1" t="str">
        <f t="shared" si="13"/>
        <v>wet</v>
      </c>
      <c r="Z32" s="2" t="str">
        <f t="shared" si="14"/>
        <v>Wet</v>
      </c>
      <c r="AA32" s="1">
        <v>27</v>
      </c>
      <c r="AB32" s="1">
        <v>14</v>
      </c>
      <c r="AC32" s="1" t="s">
        <v>23</v>
      </c>
      <c r="AD32" s="2" t="str">
        <f t="shared" si="0"/>
        <v>France</v>
      </c>
      <c r="AE32" s="1">
        <v>43.296481999999997</v>
      </c>
      <c r="AF32" s="1">
        <v>5.3697800000000004</v>
      </c>
    </row>
    <row r="33" spans="1:32" x14ac:dyDescent="0.25">
      <c r="A33" s="1" t="s">
        <v>17</v>
      </c>
      <c r="B33" s="1">
        <v>1.58</v>
      </c>
      <c r="C33" s="1">
        <v>19</v>
      </c>
      <c r="D33" s="1">
        <f t="shared" si="1"/>
        <v>19</v>
      </c>
      <c r="E33" s="2">
        <f t="shared" si="2"/>
        <v>19</v>
      </c>
      <c r="F33" s="11" t="str">
        <f t="shared" si="3"/>
        <v>Young</v>
      </c>
      <c r="G33" s="1" t="s">
        <v>18</v>
      </c>
      <c r="H33" s="2" t="str">
        <f t="shared" si="4"/>
        <v>female</v>
      </c>
      <c r="I33" s="3" t="str">
        <f t="shared" si="5"/>
        <v>Female</v>
      </c>
      <c r="J33" s="1" t="b">
        <v>1</v>
      </c>
      <c r="K33" s="1">
        <v>33</v>
      </c>
      <c r="L33" s="1">
        <v>3.5</v>
      </c>
      <c r="M33" s="2">
        <f t="shared" si="15"/>
        <v>3.5</v>
      </c>
      <c r="N33" s="1" t="s">
        <v>19</v>
      </c>
      <c r="O33" s="1" t="str">
        <f t="shared" si="7"/>
        <v>white</v>
      </c>
      <c r="P33" s="2" t="str">
        <f t="shared" si="8"/>
        <v>White</v>
      </c>
      <c r="Q33" s="1" t="s">
        <v>20</v>
      </c>
      <c r="R33" s="2" t="str">
        <f t="shared" si="9"/>
        <v>Solid</v>
      </c>
      <c r="S33" s="1" t="s">
        <v>76</v>
      </c>
      <c r="T33" s="1" t="str">
        <f t="shared" si="10"/>
        <v>Unknown</v>
      </c>
      <c r="U33" s="2" t="str">
        <f t="shared" si="11"/>
        <v>Unknown</v>
      </c>
      <c r="V33" s="1" t="b">
        <v>0</v>
      </c>
      <c r="W33" s="1" t="str">
        <f t="shared" si="12"/>
        <v>No</v>
      </c>
      <c r="X33" s="1" t="s">
        <v>37</v>
      </c>
      <c r="Y33" s="1" t="str">
        <f t="shared" si="13"/>
        <v>dry</v>
      </c>
      <c r="Z33" s="2" t="str">
        <f t="shared" si="14"/>
        <v>Dry</v>
      </c>
      <c r="AA33" s="1">
        <v>18</v>
      </c>
      <c r="AB33" s="1">
        <v>18</v>
      </c>
      <c r="AC33" s="1" t="s">
        <v>23</v>
      </c>
      <c r="AD33" s="2" t="str">
        <f t="shared" si="0"/>
        <v>France</v>
      </c>
      <c r="AE33" s="1">
        <v>48.864716000000001</v>
      </c>
      <c r="AF33" s="1">
        <v>2.3490139999999999</v>
      </c>
    </row>
    <row r="34" spans="1:32" x14ac:dyDescent="0.25">
      <c r="A34" s="1" t="s">
        <v>17</v>
      </c>
      <c r="B34" s="1">
        <v>1.58</v>
      </c>
      <c r="C34" s="1">
        <v>19</v>
      </c>
      <c r="D34" s="1">
        <f t="shared" si="1"/>
        <v>19</v>
      </c>
      <c r="E34" s="2">
        <f t="shared" si="2"/>
        <v>19</v>
      </c>
      <c r="F34" s="11" t="str">
        <f t="shared" si="3"/>
        <v>Young</v>
      </c>
      <c r="G34" s="1" t="s">
        <v>18</v>
      </c>
      <c r="H34" s="2" t="str">
        <f t="shared" si="4"/>
        <v>female</v>
      </c>
      <c r="I34" s="3" t="str">
        <f t="shared" si="5"/>
        <v>Female</v>
      </c>
      <c r="J34" s="1" t="b">
        <v>1</v>
      </c>
      <c r="K34" s="1">
        <v>33</v>
      </c>
      <c r="L34" s="1">
        <v>3.2</v>
      </c>
      <c r="M34" s="2">
        <f t="shared" si="15"/>
        <v>3.2</v>
      </c>
      <c r="N34" s="1" t="s">
        <v>19</v>
      </c>
      <c r="O34" s="1" t="str">
        <f t="shared" si="7"/>
        <v>white</v>
      </c>
      <c r="P34" s="2" t="str">
        <f t="shared" si="8"/>
        <v>White</v>
      </c>
      <c r="Q34" s="1" t="s">
        <v>20</v>
      </c>
      <c r="R34" s="2" t="str">
        <f t="shared" si="9"/>
        <v>Solid</v>
      </c>
      <c r="S34" s="1" t="s">
        <v>76</v>
      </c>
      <c r="T34" s="1" t="str">
        <f t="shared" si="10"/>
        <v>Unknown</v>
      </c>
      <c r="U34" s="2" t="str">
        <f t="shared" si="11"/>
        <v>Unknown</v>
      </c>
      <c r="V34" s="1" t="b">
        <v>1</v>
      </c>
      <c r="W34" s="1" t="str">
        <f t="shared" si="12"/>
        <v>Yes</v>
      </c>
      <c r="X34" s="1" t="s">
        <v>22</v>
      </c>
      <c r="Y34" s="1" t="str">
        <f t="shared" si="13"/>
        <v>wet</v>
      </c>
      <c r="Z34" s="2" t="str">
        <f t="shared" si="14"/>
        <v>Wet</v>
      </c>
      <c r="AA34" s="1">
        <v>12</v>
      </c>
      <c r="AB34" s="1">
        <v>19</v>
      </c>
      <c r="AC34" s="1" t="s">
        <v>32</v>
      </c>
      <c r="AD34" s="2" t="str">
        <f t="shared" si="0"/>
        <v>France</v>
      </c>
      <c r="AE34" s="1">
        <v>48.864716000000001</v>
      </c>
      <c r="AF34" s="1">
        <v>2.3490139999999999</v>
      </c>
    </row>
    <row r="35" spans="1:32" x14ac:dyDescent="0.25">
      <c r="A35" s="1" t="s">
        <v>17</v>
      </c>
      <c r="B35" s="1">
        <v>4.5</v>
      </c>
      <c r="C35" s="1">
        <v>54</v>
      </c>
      <c r="D35" s="1">
        <f t="shared" si="1"/>
        <v>54</v>
      </c>
      <c r="E35" s="2">
        <f t="shared" si="2"/>
        <v>54</v>
      </c>
      <c r="F35" s="11" t="str">
        <f t="shared" si="3"/>
        <v>Adult</v>
      </c>
      <c r="G35" s="1" t="s">
        <v>24</v>
      </c>
      <c r="H35" s="2" t="str">
        <f t="shared" si="4"/>
        <v>male</v>
      </c>
      <c r="I35" s="3" t="str">
        <f t="shared" si="5"/>
        <v>Male</v>
      </c>
      <c r="J35" s="1" t="b">
        <v>1</v>
      </c>
      <c r="K35" s="1">
        <v>37</v>
      </c>
      <c r="L35" s="1">
        <v>5.6</v>
      </c>
      <c r="M35" s="2">
        <f t="shared" si="15"/>
        <v>5.6</v>
      </c>
      <c r="N35" s="1" t="s">
        <v>19</v>
      </c>
      <c r="O35" s="1" t="str">
        <f t="shared" si="7"/>
        <v>white</v>
      </c>
      <c r="P35" s="2" t="str">
        <f t="shared" si="8"/>
        <v>White</v>
      </c>
      <c r="Q35" s="1" t="s">
        <v>20</v>
      </c>
      <c r="R35" s="2" t="str">
        <f t="shared" si="9"/>
        <v>Solid</v>
      </c>
      <c r="S35" s="1" t="s">
        <v>76</v>
      </c>
      <c r="T35" s="1" t="str">
        <f t="shared" si="10"/>
        <v>Unknown</v>
      </c>
      <c r="U35" s="2" t="str">
        <f t="shared" si="11"/>
        <v>Unknown</v>
      </c>
      <c r="V35" s="1" t="b">
        <v>0</v>
      </c>
      <c r="W35" s="1" t="str">
        <f t="shared" si="12"/>
        <v>No</v>
      </c>
      <c r="X35" s="1" t="s">
        <v>22</v>
      </c>
      <c r="Y35" s="1" t="str">
        <f t="shared" si="13"/>
        <v>wet</v>
      </c>
      <c r="Z35" s="2" t="str">
        <f t="shared" si="14"/>
        <v>Wet</v>
      </c>
      <c r="AA35" s="1">
        <v>9</v>
      </c>
      <c r="AB35" s="1">
        <v>14</v>
      </c>
      <c r="AC35" s="1" t="s">
        <v>23</v>
      </c>
      <c r="AD35" s="2" t="str">
        <f t="shared" si="0"/>
        <v>France</v>
      </c>
      <c r="AE35" s="1">
        <v>47.218370999999998</v>
      </c>
      <c r="AF35" s="1">
        <v>-1.5536209999999999</v>
      </c>
    </row>
    <row r="36" spans="1:32" x14ac:dyDescent="0.25">
      <c r="A36" s="1" t="s">
        <v>17</v>
      </c>
      <c r="B36" s="1">
        <v>4.75</v>
      </c>
      <c r="C36" s="1">
        <v>57</v>
      </c>
      <c r="D36" s="1">
        <f t="shared" si="1"/>
        <v>57</v>
      </c>
      <c r="E36" s="2">
        <f t="shared" si="2"/>
        <v>57</v>
      </c>
      <c r="F36" s="11" t="str">
        <f t="shared" si="3"/>
        <v>Adult</v>
      </c>
      <c r="G36" s="1" t="s">
        <v>76</v>
      </c>
      <c r="H36" s="2" t="str">
        <f t="shared" si="4"/>
        <v>Unknown</v>
      </c>
      <c r="I36" s="3" t="str">
        <f t="shared" si="5"/>
        <v>Unknown</v>
      </c>
      <c r="J36" s="1" t="b">
        <v>0</v>
      </c>
      <c r="K36" s="1">
        <v>41</v>
      </c>
      <c r="L36" s="1">
        <v>4.2</v>
      </c>
      <c r="M36" s="2">
        <f t="shared" si="15"/>
        <v>4.2</v>
      </c>
      <c r="N36" s="1" t="s">
        <v>36</v>
      </c>
      <c r="O36" s="1" t="str">
        <f t="shared" si="7"/>
        <v>black</v>
      </c>
      <c r="P36" s="2" t="str">
        <f t="shared" si="8"/>
        <v>Black</v>
      </c>
      <c r="Q36" s="1" t="s">
        <v>20</v>
      </c>
      <c r="R36" s="2" t="str">
        <f t="shared" si="9"/>
        <v>Solid</v>
      </c>
      <c r="S36" s="1" t="s">
        <v>76</v>
      </c>
      <c r="T36" s="1" t="str">
        <f t="shared" si="10"/>
        <v>Unknown</v>
      </c>
      <c r="U36" s="2" t="str">
        <f t="shared" si="11"/>
        <v>Unknown</v>
      </c>
      <c r="V36" s="1" t="b">
        <v>1</v>
      </c>
      <c r="W36" s="1" t="str">
        <f t="shared" si="12"/>
        <v>Yes</v>
      </c>
      <c r="X36" s="1" t="s">
        <v>37</v>
      </c>
      <c r="Y36" s="1" t="str">
        <f t="shared" si="13"/>
        <v>dry</v>
      </c>
      <c r="Z36" s="2" t="str">
        <f t="shared" si="14"/>
        <v>Dry</v>
      </c>
      <c r="AA36" s="1">
        <v>19</v>
      </c>
      <c r="AB36" s="1">
        <v>14</v>
      </c>
      <c r="AC36" s="1" t="s">
        <v>23</v>
      </c>
      <c r="AD36" s="2" t="str">
        <f t="shared" si="0"/>
        <v>France</v>
      </c>
      <c r="AE36" s="1">
        <v>44.837789000000001</v>
      </c>
      <c r="AF36" s="1">
        <v>-0.57918000000000003</v>
      </c>
    </row>
    <row r="37" spans="1:32" x14ac:dyDescent="0.25">
      <c r="A37" s="1" t="s">
        <v>76</v>
      </c>
      <c r="B37" s="1">
        <v>1.67</v>
      </c>
      <c r="C37" s="1">
        <v>20</v>
      </c>
      <c r="D37" s="1">
        <f t="shared" si="1"/>
        <v>20</v>
      </c>
      <c r="E37" s="2">
        <f t="shared" si="2"/>
        <v>20</v>
      </c>
      <c r="F37" s="11" t="str">
        <f t="shared" si="3"/>
        <v>Young</v>
      </c>
      <c r="G37" s="1" t="s">
        <v>18</v>
      </c>
      <c r="H37" s="2" t="str">
        <f t="shared" si="4"/>
        <v>female</v>
      </c>
      <c r="I37" s="3" t="str">
        <f t="shared" si="5"/>
        <v>Female</v>
      </c>
      <c r="J37" s="1" t="b">
        <v>1</v>
      </c>
      <c r="K37" s="1">
        <v>35</v>
      </c>
      <c r="L37" s="1">
        <v>5</v>
      </c>
      <c r="M37" s="2">
        <f t="shared" si="15"/>
        <v>5</v>
      </c>
      <c r="N37" s="1" t="s">
        <v>19</v>
      </c>
      <c r="O37" s="1" t="str">
        <f t="shared" si="7"/>
        <v>white</v>
      </c>
      <c r="P37" s="2" t="str">
        <f t="shared" si="8"/>
        <v>White</v>
      </c>
      <c r="Q37" s="1" t="s">
        <v>20</v>
      </c>
      <c r="R37" s="2" t="str">
        <f t="shared" si="9"/>
        <v>Solid</v>
      </c>
      <c r="S37" s="1" t="s">
        <v>76</v>
      </c>
      <c r="T37" s="1" t="str">
        <f t="shared" si="10"/>
        <v>Unknown</v>
      </c>
      <c r="U37" s="2" t="str">
        <f t="shared" si="11"/>
        <v>Unknown</v>
      </c>
      <c r="V37" s="1" t="s">
        <v>76</v>
      </c>
      <c r="W37" s="1" t="s">
        <v>76</v>
      </c>
      <c r="X37" s="1" t="s">
        <v>22</v>
      </c>
      <c r="Y37" s="1" t="str">
        <f t="shared" si="13"/>
        <v>wet</v>
      </c>
      <c r="Z37" s="2" t="str">
        <f t="shared" si="14"/>
        <v>Wet</v>
      </c>
      <c r="AA37" s="1">
        <v>10</v>
      </c>
      <c r="AB37" s="1">
        <v>15</v>
      </c>
      <c r="AC37" s="1" t="s">
        <v>23</v>
      </c>
      <c r="AD37" s="2" t="str">
        <f t="shared" si="0"/>
        <v>France</v>
      </c>
      <c r="AE37" s="1">
        <v>45.763420000000004</v>
      </c>
      <c r="AF37" s="1">
        <v>4.8342770000000002</v>
      </c>
    </row>
    <row r="38" spans="1:32" x14ac:dyDescent="0.25">
      <c r="A38" s="1" t="s">
        <v>76</v>
      </c>
      <c r="B38" s="1">
        <v>1.67</v>
      </c>
      <c r="C38" s="1">
        <v>20</v>
      </c>
      <c r="D38" s="1">
        <f t="shared" si="1"/>
        <v>20</v>
      </c>
      <c r="E38" s="2">
        <f t="shared" si="2"/>
        <v>20</v>
      </c>
      <c r="F38" s="11" t="str">
        <f t="shared" si="3"/>
        <v>Young</v>
      </c>
      <c r="G38" s="1" t="s">
        <v>24</v>
      </c>
      <c r="H38" s="2" t="str">
        <f t="shared" si="4"/>
        <v>male</v>
      </c>
      <c r="I38" s="3" t="str">
        <f t="shared" si="5"/>
        <v>Male</v>
      </c>
      <c r="J38" s="1" t="b">
        <v>1</v>
      </c>
      <c r="K38" s="1">
        <v>28</v>
      </c>
      <c r="L38" s="1">
        <v>3.1</v>
      </c>
      <c r="M38" s="2">
        <f t="shared" si="15"/>
        <v>3.1</v>
      </c>
      <c r="N38" s="1" t="s">
        <v>19</v>
      </c>
      <c r="O38" s="1" t="str">
        <f t="shared" si="7"/>
        <v>white</v>
      </c>
      <c r="P38" s="2" t="str">
        <f t="shared" si="8"/>
        <v>White</v>
      </c>
      <c r="Q38" s="1" t="s">
        <v>20</v>
      </c>
      <c r="R38" s="2" t="str">
        <f t="shared" si="9"/>
        <v>Solid</v>
      </c>
      <c r="S38" s="1" t="s">
        <v>76</v>
      </c>
      <c r="T38" s="1" t="str">
        <f t="shared" si="10"/>
        <v>Unknown</v>
      </c>
      <c r="U38" s="2" t="str">
        <f t="shared" si="11"/>
        <v>Unknown</v>
      </c>
      <c r="V38" s="1" t="s">
        <v>76</v>
      </c>
      <c r="W38" s="1" t="s">
        <v>76</v>
      </c>
      <c r="X38" s="1" t="s">
        <v>22</v>
      </c>
      <c r="Y38" s="1" t="str">
        <f t="shared" si="13"/>
        <v>wet</v>
      </c>
      <c r="Z38" s="2" t="str">
        <f t="shared" si="14"/>
        <v>Wet</v>
      </c>
      <c r="AA38" s="1">
        <v>39</v>
      </c>
      <c r="AB38" s="1">
        <v>18</v>
      </c>
      <c r="AC38" s="1" t="s">
        <v>23</v>
      </c>
      <c r="AD38" s="2" t="str">
        <f t="shared" si="0"/>
        <v>France</v>
      </c>
      <c r="AE38" s="1">
        <v>43.296481999999997</v>
      </c>
      <c r="AF38" s="1">
        <v>5.3697800000000004</v>
      </c>
    </row>
    <row r="39" spans="1:32" x14ac:dyDescent="0.25">
      <c r="A39" s="1" t="s">
        <v>76</v>
      </c>
      <c r="B39" s="1">
        <v>1.67</v>
      </c>
      <c r="C39" s="1">
        <v>20</v>
      </c>
      <c r="D39" s="1">
        <f t="shared" si="1"/>
        <v>20</v>
      </c>
      <c r="E39" s="2">
        <f t="shared" si="2"/>
        <v>20</v>
      </c>
      <c r="F39" s="11" t="str">
        <f t="shared" si="3"/>
        <v>Young</v>
      </c>
      <c r="G39" s="1" t="s">
        <v>24</v>
      </c>
      <c r="H39" s="2" t="str">
        <f t="shared" si="4"/>
        <v>male</v>
      </c>
      <c r="I39" s="3" t="str">
        <f t="shared" si="5"/>
        <v>Male</v>
      </c>
      <c r="J39" s="1" t="b">
        <v>0</v>
      </c>
      <c r="K39" s="1">
        <v>36</v>
      </c>
      <c r="L39" s="1">
        <v>3.9</v>
      </c>
      <c r="M39" s="2">
        <f t="shared" si="15"/>
        <v>3.9</v>
      </c>
      <c r="N39" s="1" t="s">
        <v>36</v>
      </c>
      <c r="O39" s="1" t="str">
        <f t="shared" si="7"/>
        <v>black</v>
      </c>
      <c r="P39" s="2" t="str">
        <f t="shared" si="8"/>
        <v>Black</v>
      </c>
      <c r="Q39" s="1" t="s">
        <v>20</v>
      </c>
      <c r="R39" s="2" t="str">
        <f t="shared" si="9"/>
        <v>Solid</v>
      </c>
      <c r="S39" s="1" t="s">
        <v>76</v>
      </c>
      <c r="T39" s="1" t="str">
        <f t="shared" si="10"/>
        <v>Unknown</v>
      </c>
      <c r="U39" s="2" t="str">
        <f t="shared" si="11"/>
        <v>Unknown</v>
      </c>
      <c r="V39" s="1" t="s">
        <v>76</v>
      </c>
      <c r="W39" s="1" t="s">
        <v>76</v>
      </c>
      <c r="X39" s="1" t="s">
        <v>22</v>
      </c>
      <c r="Y39" s="1" t="str">
        <f t="shared" si="13"/>
        <v>wet</v>
      </c>
      <c r="Z39" s="2" t="str">
        <f t="shared" si="14"/>
        <v>Wet</v>
      </c>
      <c r="AA39" s="1">
        <v>35</v>
      </c>
      <c r="AB39" s="1">
        <v>19</v>
      </c>
      <c r="AC39" s="1" t="s">
        <v>23</v>
      </c>
      <c r="AD39" s="2" t="str">
        <f t="shared" si="0"/>
        <v>France</v>
      </c>
      <c r="AE39" s="1">
        <v>43.611660000000001</v>
      </c>
      <c r="AF39" s="1">
        <v>3.87771</v>
      </c>
    </row>
    <row r="40" spans="1:32" x14ac:dyDescent="0.25">
      <c r="A40" s="1" t="s">
        <v>76</v>
      </c>
      <c r="B40" s="1">
        <v>1.75</v>
      </c>
      <c r="C40" s="1">
        <v>21</v>
      </c>
      <c r="D40" s="1">
        <f t="shared" si="1"/>
        <v>21</v>
      </c>
      <c r="E40" s="2">
        <f t="shared" si="2"/>
        <v>21</v>
      </c>
      <c r="F40" s="11" t="str">
        <f t="shared" si="3"/>
        <v>Young</v>
      </c>
      <c r="G40" s="1" t="s">
        <v>18</v>
      </c>
      <c r="H40" s="2" t="str">
        <f t="shared" si="4"/>
        <v>female</v>
      </c>
      <c r="I40" s="3" t="str">
        <f t="shared" si="5"/>
        <v>Female</v>
      </c>
      <c r="J40" s="1" t="b">
        <v>1</v>
      </c>
      <c r="K40" s="1">
        <v>28</v>
      </c>
      <c r="L40" s="1">
        <v>4.9000000000000004</v>
      </c>
      <c r="M40" s="2">
        <f t="shared" si="15"/>
        <v>4.9000000000000004</v>
      </c>
      <c r="N40" s="1" t="s">
        <v>19</v>
      </c>
      <c r="O40" s="1" t="str">
        <f t="shared" si="7"/>
        <v>white</v>
      </c>
      <c r="P40" s="2" t="str">
        <f t="shared" si="8"/>
        <v>White</v>
      </c>
      <c r="Q40" s="1" t="s">
        <v>20</v>
      </c>
      <c r="R40" s="2" t="str">
        <f t="shared" si="9"/>
        <v>Solid</v>
      </c>
      <c r="S40" s="1" t="s">
        <v>33</v>
      </c>
      <c r="T40" s="1" t="str">
        <f t="shared" si="10"/>
        <v>amber</v>
      </c>
      <c r="U40" s="2" t="str">
        <f t="shared" si="11"/>
        <v>Amber</v>
      </c>
      <c r="V40" s="1" t="b">
        <v>0</v>
      </c>
      <c r="W40" s="1" t="s">
        <v>76</v>
      </c>
      <c r="X40" s="1" t="s">
        <v>22</v>
      </c>
      <c r="Y40" s="1" t="str">
        <f t="shared" si="13"/>
        <v>wet</v>
      </c>
      <c r="Z40" s="2" t="str">
        <f t="shared" si="14"/>
        <v>Wet</v>
      </c>
      <c r="AA40" s="1">
        <v>10</v>
      </c>
      <c r="AB40" s="1">
        <v>17</v>
      </c>
      <c r="AC40" s="1" t="s">
        <v>23</v>
      </c>
      <c r="AD40" s="2" t="str">
        <f t="shared" si="0"/>
        <v>France</v>
      </c>
      <c r="AE40" s="1">
        <v>48.864716000000001</v>
      </c>
      <c r="AF40" s="1">
        <v>2.3490139999999999</v>
      </c>
    </row>
    <row r="42" spans="1:32" x14ac:dyDescent="0.25">
      <c r="E42" s="2">
        <f>AVERAGE(E2:E40)</f>
        <v>19.107142857142858</v>
      </c>
      <c r="AA42" s="1">
        <f>SUM(AA2:AA40)</f>
        <v>1175</v>
      </c>
    </row>
  </sheetData>
  <dataConsolid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0B205-EED3-45EA-891F-368452054853}">
  <dimension ref="A3:B7"/>
  <sheetViews>
    <sheetView workbookViewId="0">
      <selection activeCell="M38" sqref="M38"/>
    </sheetView>
  </sheetViews>
  <sheetFormatPr defaultRowHeight="15" x14ac:dyDescent="0.25"/>
  <cols>
    <col min="1" max="1" width="13.140625" bestFit="1" customWidth="1"/>
    <col min="2" max="2" width="22.85546875" bestFit="1" customWidth="1"/>
  </cols>
  <sheetData>
    <row r="3" spans="1:2" x14ac:dyDescent="0.25">
      <c r="A3" s="4" t="s">
        <v>55</v>
      </c>
      <c r="B3" t="s">
        <v>75</v>
      </c>
    </row>
    <row r="4" spans="1:2" x14ac:dyDescent="0.25">
      <c r="A4" s="5" t="s">
        <v>56</v>
      </c>
      <c r="B4" s="6">
        <v>3.4538461538461536</v>
      </c>
    </row>
    <row r="5" spans="1:2" x14ac:dyDescent="0.25">
      <c r="A5" s="5" t="s">
        <v>57</v>
      </c>
      <c r="B5" s="6">
        <v>3.9157894736842103</v>
      </c>
    </row>
    <row r="6" spans="1:2" x14ac:dyDescent="0.25">
      <c r="A6" s="5" t="s">
        <v>58</v>
      </c>
      <c r="B6" s="6">
        <v>2.7142857142857144</v>
      </c>
    </row>
    <row r="7" spans="1:2" x14ac:dyDescent="0.25">
      <c r="A7" s="5" t="s">
        <v>59</v>
      </c>
      <c r="B7" s="6">
        <v>3.5461538461538451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07AA0-080A-468E-A3BF-1224B1413366}">
  <dimension ref="A3:B8"/>
  <sheetViews>
    <sheetView workbookViewId="0">
      <selection activeCell="B5" sqref="B5"/>
    </sheetView>
  </sheetViews>
  <sheetFormatPr defaultRowHeight="15" x14ac:dyDescent="0.25"/>
  <cols>
    <col min="1" max="1" width="13.140625" bestFit="1" customWidth="1"/>
    <col min="2" max="2" width="36" bestFit="1" customWidth="1"/>
  </cols>
  <sheetData>
    <row r="3" spans="1:2" x14ac:dyDescent="0.25">
      <c r="A3" s="4" t="s">
        <v>55</v>
      </c>
      <c r="B3" t="s">
        <v>71</v>
      </c>
    </row>
    <row r="4" spans="1:2" x14ac:dyDescent="0.25">
      <c r="A4" s="5" t="s">
        <v>61</v>
      </c>
      <c r="B4" s="6">
        <v>19.666666666666668</v>
      </c>
    </row>
    <row r="5" spans="1:2" x14ac:dyDescent="0.25">
      <c r="A5" s="5" t="s">
        <v>62</v>
      </c>
      <c r="B5" s="6">
        <v>36.909090909090907</v>
      </c>
    </row>
    <row r="6" spans="1:2" x14ac:dyDescent="0.25">
      <c r="A6" s="5" t="s">
        <v>63</v>
      </c>
      <c r="B6" s="6">
        <v>20</v>
      </c>
    </row>
    <row r="7" spans="1:2" x14ac:dyDescent="0.25">
      <c r="A7" s="5" t="s">
        <v>64</v>
      </c>
      <c r="B7" s="6">
        <v>25.818181818181817</v>
      </c>
    </row>
    <row r="8" spans="1:2" x14ac:dyDescent="0.25">
      <c r="A8" s="5" t="s">
        <v>59</v>
      </c>
      <c r="B8" s="6">
        <v>31.756756756756758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C9B2E-D426-42D0-A70A-1EFCF3626344}">
  <dimension ref="A3:F8"/>
  <sheetViews>
    <sheetView workbookViewId="0">
      <selection activeCell="T15" sqref="T15"/>
    </sheetView>
  </sheetViews>
  <sheetFormatPr defaultRowHeight="15" x14ac:dyDescent="0.25"/>
  <cols>
    <col min="1" max="1" width="24.7109375" bestFit="1" customWidth="1"/>
    <col min="2" max="2" width="16.28515625" bestFit="1" customWidth="1"/>
    <col min="3" max="3" width="5" bestFit="1" customWidth="1"/>
    <col min="4" max="4" width="6.5703125" bestFit="1" customWidth="1"/>
    <col min="5" max="5" width="9.5703125" bestFit="1" customWidth="1"/>
    <col min="6" max="7" width="11.28515625" bestFit="1" customWidth="1"/>
  </cols>
  <sheetData>
    <row r="3" spans="1:6" x14ac:dyDescent="0.25">
      <c r="A3" s="4" t="s">
        <v>81</v>
      </c>
      <c r="B3" s="4" t="s">
        <v>80</v>
      </c>
    </row>
    <row r="4" spans="1:6" x14ac:dyDescent="0.25">
      <c r="A4" s="4" t="s">
        <v>55</v>
      </c>
      <c r="B4" t="s">
        <v>79</v>
      </c>
      <c r="C4" t="s">
        <v>78</v>
      </c>
      <c r="D4" t="s">
        <v>77</v>
      </c>
      <c r="E4" t="s">
        <v>58</v>
      </c>
      <c r="F4" t="s">
        <v>59</v>
      </c>
    </row>
    <row r="5" spans="1:6" x14ac:dyDescent="0.25">
      <c r="A5" s="5" t="s">
        <v>56</v>
      </c>
      <c r="B5" s="6">
        <v>3</v>
      </c>
      <c r="C5" s="6">
        <v>5</v>
      </c>
      <c r="D5" s="6">
        <v>1</v>
      </c>
      <c r="E5" s="6">
        <v>4</v>
      </c>
      <c r="F5" s="6">
        <v>13</v>
      </c>
    </row>
    <row r="6" spans="1:6" x14ac:dyDescent="0.25">
      <c r="A6" s="5" t="s">
        <v>57</v>
      </c>
      <c r="B6" s="6">
        <v>4</v>
      </c>
      <c r="C6" s="6">
        <v>7</v>
      </c>
      <c r="D6" s="6">
        <v>3</v>
      </c>
      <c r="E6" s="6">
        <v>5</v>
      </c>
      <c r="F6" s="6">
        <v>19</v>
      </c>
    </row>
    <row r="7" spans="1:6" x14ac:dyDescent="0.25">
      <c r="A7" s="5" t="s">
        <v>58</v>
      </c>
      <c r="B7" s="6">
        <v>1</v>
      </c>
      <c r="C7" s="6">
        <v>1</v>
      </c>
      <c r="D7" s="6">
        <v>3</v>
      </c>
      <c r="E7" s="6">
        <v>2</v>
      </c>
      <c r="F7" s="6">
        <v>7</v>
      </c>
    </row>
    <row r="8" spans="1:6" x14ac:dyDescent="0.25">
      <c r="A8" s="5" t="s">
        <v>59</v>
      </c>
      <c r="B8" s="6">
        <v>8</v>
      </c>
      <c r="C8" s="6">
        <v>13</v>
      </c>
      <c r="D8" s="6">
        <v>7</v>
      </c>
      <c r="E8" s="6">
        <v>11</v>
      </c>
      <c r="F8" s="6">
        <v>39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3801-2864-40E2-AA37-67462D57F478}">
  <dimension ref="A3:B7"/>
  <sheetViews>
    <sheetView workbookViewId="0">
      <selection activeCell="Q15" sqref="Q15"/>
    </sheetView>
  </sheetViews>
  <sheetFormatPr defaultRowHeight="15" x14ac:dyDescent="0.25"/>
  <cols>
    <col min="1" max="1" width="13.140625" bestFit="1" customWidth="1"/>
    <col min="2" max="2" width="21.42578125" bestFit="1" customWidth="1"/>
  </cols>
  <sheetData>
    <row r="3" spans="1:2" x14ac:dyDescent="0.25">
      <c r="A3" s="4" t="s">
        <v>55</v>
      </c>
      <c r="B3" t="s">
        <v>60</v>
      </c>
    </row>
    <row r="4" spans="1:2" x14ac:dyDescent="0.25">
      <c r="A4" s="5" t="s">
        <v>56</v>
      </c>
      <c r="B4" s="6">
        <v>13</v>
      </c>
    </row>
    <row r="5" spans="1:2" x14ac:dyDescent="0.25">
      <c r="A5" s="5" t="s">
        <v>57</v>
      </c>
      <c r="B5" s="6">
        <v>19</v>
      </c>
    </row>
    <row r="6" spans="1:2" x14ac:dyDescent="0.25">
      <c r="A6" s="5" t="s">
        <v>58</v>
      </c>
      <c r="B6" s="6">
        <v>7</v>
      </c>
    </row>
    <row r="7" spans="1:2" x14ac:dyDescent="0.25">
      <c r="A7" s="5" t="s">
        <v>59</v>
      </c>
      <c r="B7" s="6">
        <v>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84806-6ACA-432D-93D0-B795CD5B3B72}">
  <dimension ref="A3:B8"/>
  <sheetViews>
    <sheetView workbookViewId="0">
      <selection activeCell="T14" sqref="T14"/>
    </sheetView>
  </sheetViews>
  <sheetFormatPr defaultRowHeight="15" x14ac:dyDescent="0.25"/>
  <cols>
    <col min="1" max="1" width="13.140625" bestFit="1" customWidth="1"/>
    <col min="2" max="2" width="19.28515625" bestFit="1" customWidth="1"/>
  </cols>
  <sheetData>
    <row r="3" spans="1:2" x14ac:dyDescent="0.25">
      <c r="A3" s="4" t="s">
        <v>55</v>
      </c>
      <c r="B3" t="s">
        <v>65</v>
      </c>
    </row>
    <row r="4" spans="1:2" x14ac:dyDescent="0.25">
      <c r="A4" s="5" t="s">
        <v>61</v>
      </c>
      <c r="B4" s="6">
        <v>3</v>
      </c>
    </row>
    <row r="5" spans="1:2" x14ac:dyDescent="0.25">
      <c r="A5" s="5" t="s">
        <v>62</v>
      </c>
      <c r="B5" s="6">
        <v>24</v>
      </c>
    </row>
    <row r="6" spans="1:2" x14ac:dyDescent="0.25">
      <c r="A6" s="5" t="s">
        <v>63</v>
      </c>
      <c r="B6" s="6">
        <v>1</v>
      </c>
    </row>
    <row r="7" spans="1:2" x14ac:dyDescent="0.25">
      <c r="A7" s="5" t="s">
        <v>64</v>
      </c>
      <c r="B7" s="6">
        <v>11</v>
      </c>
    </row>
    <row r="8" spans="1:2" x14ac:dyDescent="0.25">
      <c r="A8" s="5" t="s">
        <v>59</v>
      </c>
      <c r="B8" s="6">
        <v>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307F4-BA25-415E-BEBD-3C63527AE0C0}">
  <dimension ref="A3:B8"/>
  <sheetViews>
    <sheetView workbookViewId="0">
      <selection activeCell="M20" sqref="M20"/>
    </sheetView>
  </sheetViews>
  <sheetFormatPr defaultRowHeight="15" x14ac:dyDescent="0.25"/>
  <cols>
    <col min="1" max="1" width="13.140625" bestFit="1" customWidth="1"/>
    <col min="2" max="2" width="34.140625" bestFit="1" customWidth="1"/>
  </cols>
  <sheetData>
    <row r="3" spans="1:2" x14ac:dyDescent="0.25">
      <c r="A3" s="4" t="s">
        <v>55</v>
      </c>
      <c r="B3" t="s">
        <v>69</v>
      </c>
    </row>
    <row r="4" spans="1:2" x14ac:dyDescent="0.25">
      <c r="A4" s="5" t="s">
        <v>66</v>
      </c>
      <c r="B4" s="6">
        <v>6</v>
      </c>
    </row>
    <row r="5" spans="1:2" x14ac:dyDescent="0.25">
      <c r="A5" s="5" t="s">
        <v>67</v>
      </c>
      <c r="B5" s="6">
        <v>4</v>
      </c>
    </row>
    <row r="6" spans="1:2" x14ac:dyDescent="0.25">
      <c r="A6" s="5" t="s">
        <v>58</v>
      </c>
      <c r="B6" s="6">
        <v>2</v>
      </c>
    </row>
    <row r="7" spans="1:2" x14ac:dyDescent="0.25">
      <c r="A7" s="5" t="s">
        <v>68</v>
      </c>
      <c r="B7" s="6">
        <v>27</v>
      </c>
    </row>
    <row r="8" spans="1:2" x14ac:dyDescent="0.25">
      <c r="A8" s="5" t="s">
        <v>59</v>
      </c>
      <c r="B8" s="6">
        <v>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2F378-6939-470F-AF26-D9034A46ABE3}">
  <dimension ref="A3:B7"/>
  <sheetViews>
    <sheetView workbookViewId="0">
      <selection activeCell="K30" sqref="K30"/>
    </sheetView>
  </sheetViews>
  <sheetFormatPr defaultRowHeight="15" x14ac:dyDescent="0.25"/>
  <cols>
    <col min="1" max="1" width="13.140625" bestFit="1" customWidth="1"/>
    <col min="2" max="2" width="27.7109375" bestFit="1" customWidth="1"/>
  </cols>
  <sheetData>
    <row r="3" spans="1:2" x14ac:dyDescent="0.25">
      <c r="A3" s="4" t="s">
        <v>55</v>
      </c>
      <c r="B3" t="s">
        <v>70</v>
      </c>
    </row>
    <row r="4" spans="1:2" x14ac:dyDescent="0.25">
      <c r="A4" s="5" t="s">
        <v>56</v>
      </c>
      <c r="B4" s="6">
        <v>18.53846153846154</v>
      </c>
    </row>
    <row r="5" spans="1:2" x14ac:dyDescent="0.25">
      <c r="A5" s="5" t="s">
        <v>57</v>
      </c>
      <c r="B5" s="6">
        <v>15.764705882352942</v>
      </c>
    </row>
    <row r="6" spans="1:2" x14ac:dyDescent="0.25">
      <c r="A6" s="5" t="s">
        <v>58</v>
      </c>
      <c r="B6" s="6">
        <v>11</v>
      </c>
    </row>
    <row r="7" spans="1:2" x14ac:dyDescent="0.25">
      <c r="A7" s="5" t="s">
        <v>59</v>
      </c>
      <c r="B7" s="6">
        <v>15.837837837837839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7AB51-FFA1-4B3B-A9AF-15D114BE205D}">
  <dimension ref="A3:B7"/>
  <sheetViews>
    <sheetView workbookViewId="0">
      <selection activeCell="N38" sqref="N38"/>
    </sheetView>
  </sheetViews>
  <sheetFormatPr defaultRowHeight="15" x14ac:dyDescent="0.25"/>
  <cols>
    <col min="1" max="1" width="13.140625" bestFit="1" customWidth="1"/>
    <col min="2" max="2" width="36" bestFit="1" customWidth="1"/>
  </cols>
  <sheetData>
    <row r="3" spans="1:2" x14ac:dyDescent="0.25">
      <c r="A3" s="4" t="s">
        <v>55</v>
      </c>
      <c r="B3" t="s">
        <v>71</v>
      </c>
    </row>
    <row r="4" spans="1:2" x14ac:dyDescent="0.25">
      <c r="A4" s="5" t="s">
        <v>56</v>
      </c>
      <c r="B4" s="6">
        <v>26.153846153846153</v>
      </c>
    </row>
    <row r="5" spans="1:2" x14ac:dyDescent="0.25">
      <c r="A5" s="5" t="s">
        <v>57</v>
      </c>
      <c r="B5" s="6">
        <v>32.352941176470587</v>
      </c>
    </row>
    <row r="6" spans="1:2" x14ac:dyDescent="0.25">
      <c r="A6" s="5" t="s">
        <v>58</v>
      </c>
      <c r="B6" s="6">
        <v>40.714285714285715</v>
      </c>
    </row>
    <row r="7" spans="1:2" x14ac:dyDescent="0.25">
      <c r="A7" s="5" t="s">
        <v>59</v>
      </c>
      <c r="B7" s="6">
        <v>31.756756756756758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12F4-6BDF-4C3A-BFA0-5EF17F3DFC1B}">
  <dimension ref="A3:B7"/>
  <sheetViews>
    <sheetView showGridLines="0" workbookViewId="0">
      <selection activeCell="G20" sqref="G20"/>
    </sheetView>
  </sheetViews>
  <sheetFormatPr defaultRowHeight="15" x14ac:dyDescent="0.25"/>
  <cols>
    <col min="1" max="1" width="13.140625" bestFit="1" customWidth="1"/>
    <col min="2" max="2" width="31.28515625" bestFit="1" customWidth="1"/>
  </cols>
  <sheetData>
    <row r="3" spans="1:2" x14ac:dyDescent="0.25">
      <c r="A3" s="4" t="s">
        <v>55</v>
      </c>
      <c r="B3" t="s">
        <v>72</v>
      </c>
    </row>
    <row r="4" spans="1:2" x14ac:dyDescent="0.25">
      <c r="A4" s="5" t="s">
        <v>73</v>
      </c>
      <c r="B4" s="6">
        <v>29</v>
      </c>
    </row>
    <row r="5" spans="1:2" x14ac:dyDescent="0.25">
      <c r="A5" s="5" t="s">
        <v>74</v>
      </c>
      <c r="B5" s="6">
        <v>6</v>
      </c>
    </row>
    <row r="6" spans="1:2" x14ac:dyDescent="0.25">
      <c r="A6" s="5" t="s">
        <v>76</v>
      </c>
      <c r="B6" s="6">
        <v>4</v>
      </c>
    </row>
    <row r="7" spans="1:2" x14ac:dyDescent="0.25">
      <c r="A7" s="5" t="s">
        <v>59</v>
      </c>
      <c r="B7" s="6">
        <v>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056D3-CA1D-4C9E-8B05-BCA63A766951}">
  <dimension ref="A1:B4"/>
  <sheetViews>
    <sheetView workbookViewId="0">
      <selection activeCell="B5" sqref="B5"/>
    </sheetView>
  </sheetViews>
  <sheetFormatPr defaultRowHeight="15" x14ac:dyDescent="0.25"/>
  <cols>
    <col min="1" max="1" width="22" customWidth="1"/>
  </cols>
  <sheetData>
    <row r="1" spans="1:2" x14ac:dyDescent="0.25">
      <c r="A1" t="s">
        <v>82</v>
      </c>
      <c r="B1">
        <v>39</v>
      </c>
    </row>
    <row r="2" spans="1:2" x14ac:dyDescent="0.25">
      <c r="A2" t="s">
        <v>83</v>
      </c>
      <c r="B2" s="2">
        <v>19.12</v>
      </c>
    </row>
    <row r="3" spans="1:2" x14ac:dyDescent="0.25">
      <c r="A3" t="s">
        <v>84</v>
      </c>
      <c r="B3">
        <v>1175</v>
      </c>
    </row>
    <row r="4" spans="1:2" x14ac:dyDescent="0.25">
      <c r="A4" t="s">
        <v>85</v>
      </c>
      <c r="B4" t="s">
        <v>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8D4C2-E851-431B-A6E1-23D7FD7D9697}">
  <dimension ref="A1:W165"/>
  <sheetViews>
    <sheetView showGridLines="0" tabSelected="1" topLeftCell="A16" zoomScale="70" zoomScaleNormal="70" workbookViewId="0">
      <selection activeCell="A8" sqref="A8"/>
    </sheetView>
  </sheetViews>
  <sheetFormatPr defaultRowHeight="15" x14ac:dyDescent="0.25"/>
  <cols>
    <col min="1" max="1" width="255.5703125" customWidth="1"/>
  </cols>
  <sheetData>
    <row r="1" spans="1:23" ht="114" customHeight="1" x14ac:dyDescent="0.25">
      <c r="A1" s="16" t="s">
        <v>92</v>
      </c>
      <c r="B1" s="16"/>
      <c r="C1" s="16"/>
      <c r="D1" s="16"/>
      <c r="E1" s="16"/>
      <c r="F1" s="16"/>
      <c r="G1" s="16"/>
      <c r="H1" s="16"/>
      <c r="I1" s="16"/>
      <c r="J1" s="16"/>
      <c r="K1" s="16"/>
      <c r="L1" s="16"/>
      <c r="M1" s="8"/>
      <c r="N1" s="8"/>
      <c r="O1" s="8"/>
      <c r="P1" s="8"/>
      <c r="Q1" s="8"/>
      <c r="R1" s="8"/>
      <c r="S1" s="8"/>
      <c r="T1" s="8"/>
      <c r="U1" s="8"/>
      <c r="V1" s="8"/>
      <c r="W1" s="8"/>
    </row>
    <row r="2" spans="1:23" x14ac:dyDescent="0.25">
      <c r="A2" s="7"/>
      <c r="B2" s="7"/>
      <c r="C2" s="7"/>
      <c r="D2" s="7"/>
      <c r="E2" s="7"/>
      <c r="F2" s="7"/>
      <c r="G2" s="7"/>
      <c r="H2" s="7"/>
      <c r="I2" s="7"/>
      <c r="J2" s="7"/>
      <c r="K2" s="7"/>
      <c r="L2" s="7"/>
      <c r="M2" s="7"/>
      <c r="N2" s="7"/>
      <c r="O2" s="7"/>
      <c r="P2" s="7"/>
      <c r="Q2" s="7"/>
      <c r="R2" s="7"/>
      <c r="S2" s="7"/>
      <c r="T2" s="7"/>
      <c r="U2" s="7"/>
      <c r="V2" s="7"/>
      <c r="W2" s="7"/>
    </row>
    <row r="3" spans="1:23" x14ac:dyDescent="0.25">
      <c r="A3" s="7"/>
      <c r="B3" s="7"/>
      <c r="C3" s="7"/>
      <c r="D3" s="7"/>
      <c r="E3" s="7"/>
      <c r="F3" s="7"/>
      <c r="G3" s="7"/>
      <c r="H3" s="7"/>
      <c r="I3" s="7"/>
      <c r="J3" s="7"/>
      <c r="K3" s="7"/>
      <c r="L3" s="7"/>
      <c r="M3" s="7"/>
      <c r="N3" s="7"/>
      <c r="O3" s="7"/>
      <c r="P3" s="7"/>
      <c r="Q3" s="7"/>
      <c r="R3" s="7"/>
      <c r="S3" s="7"/>
      <c r="T3" s="7"/>
      <c r="U3" s="7"/>
      <c r="V3" s="7"/>
      <c r="W3" s="7"/>
    </row>
    <row r="4" spans="1:23" x14ac:dyDescent="0.25">
      <c r="A4" s="7"/>
      <c r="B4" s="7"/>
      <c r="C4" s="7"/>
      <c r="D4" s="7"/>
      <c r="E4" s="7"/>
      <c r="F4" s="7"/>
      <c r="G4" s="7"/>
      <c r="H4" s="7"/>
      <c r="I4" s="7"/>
      <c r="J4" s="7"/>
      <c r="K4" s="7"/>
      <c r="L4" s="7"/>
      <c r="M4" s="7"/>
      <c r="N4" s="7"/>
      <c r="O4" s="7"/>
      <c r="P4" s="7"/>
      <c r="Q4" s="7"/>
      <c r="R4" s="7"/>
      <c r="S4" s="7"/>
      <c r="T4" s="7"/>
      <c r="U4" s="7"/>
      <c r="V4" s="7"/>
      <c r="W4" s="7"/>
    </row>
    <row r="5" spans="1:23" x14ac:dyDescent="0.25">
      <c r="A5" s="7"/>
      <c r="B5" s="7"/>
      <c r="C5" s="7"/>
      <c r="D5" s="7"/>
      <c r="E5" s="7"/>
      <c r="F5" s="7"/>
      <c r="G5" s="7"/>
      <c r="H5" s="7"/>
      <c r="I5" s="7"/>
      <c r="J5" s="7"/>
      <c r="K5" s="7"/>
      <c r="L5" s="7"/>
      <c r="M5" s="7"/>
      <c r="N5" s="7"/>
      <c r="O5" s="7"/>
      <c r="P5" s="7"/>
      <c r="Q5" s="7"/>
      <c r="R5" s="7"/>
      <c r="S5" s="7"/>
      <c r="T5" s="7"/>
      <c r="U5" s="7"/>
      <c r="V5" s="7"/>
      <c r="W5" s="7"/>
    </row>
    <row r="6" spans="1:23" x14ac:dyDescent="0.25">
      <c r="A6" s="7"/>
      <c r="B6" s="7"/>
      <c r="C6" s="7"/>
      <c r="D6" s="7"/>
      <c r="E6" s="7"/>
      <c r="F6" s="7"/>
      <c r="G6" s="7"/>
      <c r="H6" s="7"/>
      <c r="I6" s="7"/>
      <c r="J6" s="7"/>
      <c r="K6" s="7"/>
      <c r="L6" s="7"/>
      <c r="M6" s="7"/>
      <c r="N6" s="7"/>
      <c r="O6" s="7"/>
      <c r="P6" s="7"/>
      <c r="Q6" s="7"/>
      <c r="R6" s="7"/>
      <c r="S6" s="7"/>
      <c r="T6" s="7"/>
      <c r="U6" s="7"/>
      <c r="V6" s="7"/>
      <c r="W6" s="7"/>
    </row>
    <row r="7" spans="1:23" x14ac:dyDescent="0.25">
      <c r="A7" s="7"/>
      <c r="B7" s="7"/>
      <c r="C7" s="7"/>
      <c r="D7" s="7"/>
      <c r="E7" s="7"/>
      <c r="F7" s="7"/>
      <c r="G7" s="7"/>
      <c r="H7" s="7"/>
      <c r="I7" s="7"/>
      <c r="J7" s="7"/>
      <c r="K7" s="7"/>
      <c r="L7" s="7"/>
      <c r="M7" s="7"/>
      <c r="N7" s="7"/>
      <c r="O7" s="7"/>
      <c r="P7" s="7"/>
      <c r="Q7" s="7"/>
      <c r="R7" s="7"/>
      <c r="S7" s="7"/>
      <c r="T7" s="7"/>
      <c r="U7" s="7"/>
      <c r="V7" s="7"/>
      <c r="W7" s="7"/>
    </row>
    <row r="8" spans="1:23" x14ac:dyDescent="0.25">
      <c r="A8" s="7"/>
      <c r="B8" s="7"/>
      <c r="C8" s="7"/>
      <c r="D8" s="7"/>
      <c r="E8" s="7"/>
      <c r="F8" s="7"/>
      <c r="G8" s="7"/>
      <c r="H8" s="7"/>
      <c r="I8" s="7"/>
      <c r="J8" s="7"/>
      <c r="K8" s="7"/>
      <c r="L8" s="7"/>
      <c r="M8" s="7"/>
      <c r="N8" s="7"/>
      <c r="O8" s="7"/>
      <c r="P8" s="7"/>
      <c r="Q8" s="7"/>
      <c r="R8" s="7"/>
      <c r="S8" s="7"/>
      <c r="T8" s="7"/>
      <c r="U8" s="7"/>
      <c r="V8" s="7"/>
      <c r="W8" s="7"/>
    </row>
    <row r="9" spans="1:23" x14ac:dyDescent="0.25">
      <c r="A9" s="7"/>
      <c r="B9" s="7"/>
      <c r="C9" s="7"/>
      <c r="D9" s="7"/>
      <c r="E9" s="7"/>
      <c r="F9" s="7"/>
      <c r="G9" s="7"/>
      <c r="H9" s="7"/>
      <c r="I9" s="7"/>
      <c r="J9" s="7"/>
      <c r="K9" s="7"/>
      <c r="L9" s="7"/>
      <c r="M9" s="7"/>
      <c r="N9" s="7"/>
      <c r="O9" s="7"/>
      <c r="P9" s="7"/>
      <c r="Q9" s="7"/>
      <c r="R9" s="7"/>
      <c r="S9" s="7"/>
      <c r="T9" s="7"/>
      <c r="U9" s="7"/>
      <c r="V9" s="7"/>
      <c r="W9" s="7"/>
    </row>
    <row r="10" spans="1:23" x14ac:dyDescent="0.25">
      <c r="A10" s="7"/>
      <c r="B10" s="7"/>
      <c r="C10" s="7"/>
      <c r="D10" s="7"/>
      <c r="E10" s="7"/>
      <c r="F10" s="7"/>
      <c r="G10" s="7"/>
      <c r="H10" s="7"/>
      <c r="I10" s="7"/>
      <c r="J10" s="7"/>
      <c r="K10" s="7"/>
      <c r="L10" s="7"/>
      <c r="M10" s="7"/>
      <c r="N10" s="7"/>
      <c r="O10" s="7"/>
      <c r="P10" s="7"/>
      <c r="Q10" s="7"/>
      <c r="R10" s="7"/>
      <c r="S10" s="7"/>
      <c r="T10" s="7"/>
      <c r="U10" s="7"/>
      <c r="V10" s="7"/>
      <c r="W10" s="7"/>
    </row>
    <row r="11" spans="1:23" x14ac:dyDescent="0.25">
      <c r="A11" s="7"/>
      <c r="B11" s="7"/>
      <c r="C11" s="7"/>
      <c r="D11" s="7"/>
      <c r="E11" s="7"/>
      <c r="F11" s="7"/>
      <c r="G11" s="7"/>
      <c r="H11" s="7"/>
      <c r="I11" s="7"/>
      <c r="J11" s="7"/>
      <c r="K11" s="7"/>
      <c r="L11" s="7"/>
      <c r="M11" s="7"/>
      <c r="N11" s="7"/>
      <c r="O11" s="7"/>
      <c r="P11" s="7"/>
      <c r="Q11" s="7"/>
      <c r="R11" s="7"/>
      <c r="S11" s="7"/>
      <c r="T11" s="7"/>
      <c r="U11" s="7"/>
      <c r="V11" s="7"/>
      <c r="W11" s="7"/>
    </row>
    <row r="12" spans="1:23" x14ac:dyDescent="0.25">
      <c r="A12" s="7"/>
      <c r="B12" s="7"/>
      <c r="C12" s="7"/>
      <c r="D12" s="7"/>
      <c r="E12" s="7"/>
      <c r="F12" s="7"/>
      <c r="G12" s="7"/>
      <c r="H12" s="7"/>
      <c r="I12" s="7"/>
      <c r="J12" s="7"/>
      <c r="K12" s="7"/>
      <c r="L12" s="7"/>
      <c r="M12" s="7"/>
      <c r="N12" s="7"/>
      <c r="O12" s="7"/>
      <c r="P12" s="7"/>
      <c r="Q12" s="7"/>
      <c r="R12" s="7"/>
      <c r="S12" s="7"/>
      <c r="T12" s="7"/>
      <c r="U12" s="7"/>
      <c r="V12" s="7"/>
      <c r="W12" s="7"/>
    </row>
    <row r="13" spans="1:23" x14ac:dyDescent="0.25">
      <c r="A13" s="7"/>
      <c r="B13" s="7"/>
      <c r="C13" s="7"/>
      <c r="D13" s="7"/>
      <c r="E13" s="7"/>
      <c r="F13" s="7"/>
      <c r="G13" s="7"/>
      <c r="H13" s="7"/>
      <c r="I13" s="7"/>
      <c r="J13" s="7"/>
      <c r="K13" s="7"/>
      <c r="L13" s="7"/>
      <c r="M13" s="7"/>
      <c r="N13" s="7"/>
      <c r="O13" s="7"/>
      <c r="P13" s="7"/>
      <c r="Q13" s="7"/>
      <c r="R13" s="7"/>
      <c r="S13" s="7"/>
      <c r="T13" s="7"/>
      <c r="U13" s="7"/>
      <c r="V13" s="7"/>
      <c r="W13" s="7"/>
    </row>
    <row r="14" spans="1:23" x14ac:dyDescent="0.25">
      <c r="A14" s="7"/>
      <c r="B14" s="7"/>
      <c r="C14" s="7"/>
      <c r="D14" s="7"/>
      <c r="E14" s="7"/>
      <c r="F14" s="7"/>
      <c r="G14" s="7"/>
      <c r="H14" s="7"/>
      <c r="I14" s="7"/>
      <c r="J14" s="7"/>
      <c r="K14" s="7"/>
      <c r="L14" s="7"/>
      <c r="M14" s="7"/>
      <c r="N14" s="7"/>
      <c r="O14" s="7"/>
      <c r="P14" s="7"/>
      <c r="Q14" s="7"/>
      <c r="R14" s="7"/>
      <c r="S14" s="7"/>
      <c r="T14" s="7"/>
      <c r="U14" s="7"/>
      <c r="V14" s="7"/>
      <c r="W14" s="7"/>
    </row>
    <row r="15" spans="1:23" x14ac:dyDescent="0.25">
      <c r="A15" s="7"/>
      <c r="B15" s="7"/>
      <c r="C15" s="7"/>
      <c r="D15" s="7"/>
      <c r="E15" s="7"/>
      <c r="F15" s="7"/>
      <c r="G15" s="7"/>
      <c r="H15" s="7"/>
      <c r="I15" s="7"/>
      <c r="J15" s="7"/>
      <c r="K15" s="7"/>
      <c r="L15" s="7"/>
      <c r="M15" s="7"/>
      <c r="N15" s="7"/>
      <c r="O15" s="7"/>
      <c r="P15" s="7"/>
      <c r="Q15" s="7"/>
      <c r="R15" s="7"/>
      <c r="S15" s="7"/>
      <c r="T15" s="7"/>
      <c r="U15" s="7"/>
      <c r="V15" s="7"/>
      <c r="W15" s="7"/>
    </row>
    <row r="16" spans="1:23" x14ac:dyDescent="0.25">
      <c r="A16" s="7"/>
      <c r="B16" s="7"/>
      <c r="C16" s="7"/>
      <c r="D16" s="7"/>
      <c r="E16" s="7"/>
      <c r="F16" s="7"/>
      <c r="G16" s="7"/>
      <c r="H16" s="7"/>
      <c r="I16" s="7"/>
      <c r="J16" s="7"/>
      <c r="K16" s="7"/>
      <c r="L16" s="7"/>
      <c r="M16" s="7"/>
      <c r="N16" s="7"/>
      <c r="O16" s="7"/>
      <c r="P16" s="7"/>
      <c r="Q16" s="7"/>
      <c r="R16" s="7"/>
      <c r="S16" s="7"/>
      <c r="T16" s="7"/>
      <c r="U16" s="7"/>
      <c r="V16" s="7"/>
      <c r="W16" s="7"/>
    </row>
    <row r="17" spans="1:23" x14ac:dyDescent="0.25">
      <c r="A17" s="7"/>
      <c r="B17" s="7"/>
      <c r="C17" s="7"/>
      <c r="D17" s="7"/>
      <c r="E17" s="7"/>
      <c r="F17" s="7"/>
      <c r="G17" s="7"/>
      <c r="H17" s="7"/>
      <c r="I17" s="7"/>
      <c r="J17" s="7"/>
      <c r="K17" s="7"/>
      <c r="L17" s="7"/>
      <c r="M17" s="7"/>
      <c r="N17" s="7"/>
      <c r="O17" s="7"/>
      <c r="P17" s="7"/>
      <c r="Q17" s="7"/>
      <c r="R17" s="7"/>
      <c r="S17" s="7"/>
      <c r="T17" s="7"/>
      <c r="U17" s="7"/>
      <c r="V17" s="7"/>
      <c r="W17" s="7"/>
    </row>
    <row r="18" spans="1:23" x14ac:dyDescent="0.25">
      <c r="A18" s="7"/>
      <c r="B18" s="7"/>
      <c r="C18" s="7"/>
      <c r="D18" s="7"/>
      <c r="E18" s="7"/>
      <c r="F18" s="7"/>
      <c r="G18" s="7"/>
      <c r="H18" s="7"/>
      <c r="I18" s="7"/>
      <c r="J18" s="7"/>
      <c r="K18" s="7"/>
      <c r="L18" s="7"/>
      <c r="M18" s="7"/>
      <c r="N18" s="7"/>
      <c r="O18" s="7"/>
      <c r="P18" s="7"/>
      <c r="Q18" s="7"/>
      <c r="R18" s="7"/>
      <c r="S18" s="7"/>
      <c r="T18" s="7"/>
      <c r="U18" s="7"/>
      <c r="V18" s="7"/>
      <c r="W18" s="7"/>
    </row>
    <row r="19" spans="1:23" x14ac:dyDescent="0.25">
      <c r="A19" s="7"/>
      <c r="B19" s="7"/>
      <c r="C19" s="7"/>
      <c r="D19" s="7"/>
      <c r="E19" s="7"/>
      <c r="F19" s="7"/>
      <c r="G19" s="7"/>
      <c r="H19" s="7"/>
      <c r="I19" s="7"/>
      <c r="J19" s="7"/>
      <c r="K19" s="7"/>
      <c r="L19" s="7"/>
      <c r="M19" s="7"/>
      <c r="N19" s="7"/>
      <c r="O19" s="7"/>
      <c r="P19" s="7"/>
      <c r="Q19" s="7"/>
      <c r="R19" s="7"/>
      <c r="S19" s="7"/>
      <c r="T19" s="7"/>
      <c r="U19" s="7"/>
      <c r="V19" s="7"/>
      <c r="W19" s="7"/>
    </row>
    <row r="20" spans="1:23" x14ac:dyDescent="0.25">
      <c r="A20" s="7"/>
      <c r="B20" s="7"/>
      <c r="C20" s="7"/>
      <c r="D20" s="7"/>
      <c r="E20" s="7"/>
      <c r="F20" s="7"/>
      <c r="G20" s="7"/>
      <c r="H20" s="7"/>
      <c r="I20" s="7"/>
      <c r="J20" s="7"/>
      <c r="K20" s="7"/>
      <c r="L20" s="7"/>
      <c r="M20" s="7"/>
      <c r="N20" s="7"/>
      <c r="O20" s="7"/>
      <c r="P20" s="7"/>
      <c r="Q20" s="7"/>
      <c r="R20" s="7"/>
      <c r="S20" s="7"/>
      <c r="T20" s="7"/>
      <c r="U20" s="7"/>
      <c r="V20" s="7"/>
      <c r="W20" s="7"/>
    </row>
    <row r="21" spans="1:23" x14ac:dyDescent="0.25">
      <c r="A21" s="7"/>
      <c r="B21" s="7"/>
      <c r="C21" s="7"/>
      <c r="D21" s="7"/>
      <c r="E21" s="7"/>
      <c r="F21" s="7"/>
      <c r="G21" s="7"/>
      <c r="H21" s="7"/>
      <c r="I21" s="7"/>
      <c r="J21" s="7"/>
      <c r="K21" s="7"/>
      <c r="L21" s="7"/>
      <c r="M21" s="7"/>
      <c r="N21" s="7"/>
      <c r="O21" s="7"/>
      <c r="P21" s="7"/>
      <c r="Q21" s="7"/>
      <c r="R21" s="7"/>
      <c r="S21" s="7"/>
      <c r="T21" s="7"/>
      <c r="U21" s="7"/>
      <c r="V21" s="7"/>
      <c r="W21" s="7"/>
    </row>
    <row r="22" spans="1:23" x14ac:dyDescent="0.25">
      <c r="A22" s="7"/>
      <c r="B22" s="7"/>
      <c r="C22" s="7"/>
      <c r="D22" s="7"/>
      <c r="E22" s="7"/>
      <c r="F22" s="7"/>
      <c r="G22" s="7"/>
      <c r="H22" s="7"/>
      <c r="I22" s="7"/>
      <c r="J22" s="7"/>
      <c r="K22" s="7"/>
      <c r="L22" s="7"/>
      <c r="M22" s="7"/>
      <c r="N22" s="7"/>
      <c r="O22" s="7"/>
      <c r="P22" s="7"/>
      <c r="Q22" s="7"/>
      <c r="R22" s="7"/>
      <c r="S22" s="7"/>
      <c r="T22" s="7"/>
      <c r="U22" s="7"/>
      <c r="V22" s="7"/>
      <c r="W22" s="7"/>
    </row>
    <row r="23" spans="1:23" x14ac:dyDescent="0.25">
      <c r="A23" s="7"/>
      <c r="B23" s="7"/>
      <c r="C23" s="7"/>
      <c r="D23" s="7"/>
      <c r="E23" s="7"/>
      <c r="F23" s="7"/>
      <c r="G23" s="7"/>
      <c r="H23" s="7"/>
      <c r="I23" s="7"/>
      <c r="J23" s="7"/>
      <c r="K23" s="7"/>
      <c r="L23" s="7"/>
      <c r="M23" s="7"/>
      <c r="N23" s="7"/>
      <c r="O23" s="7"/>
      <c r="P23" s="7"/>
      <c r="Q23" s="7"/>
      <c r="R23" s="7"/>
      <c r="S23" s="7"/>
      <c r="T23" s="7"/>
      <c r="U23" s="7"/>
      <c r="V23" s="7"/>
      <c r="W23" s="7"/>
    </row>
    <row r="24" spans="1:23" x14ac:dyDescent="0.25">
      <c r="A24" s="7"/>
      <c r="B24" s="7"/>
      <c r="C24" s="7"/>
      <c r="D24" s="7"/>
      <c r="E24" s="7"/>
      <c r="F24" s="7"/>
      <c r="G24" s="7"/>
      <c r="H24" s="7"/>
      <c r="I24" s="7"/>
      <c r="J24" s="7"/>
      <c r="K24" s="7"/>
      <c r="L24" s="7"/>
      <c r="M24" s="7"/>
      <c r="N24" s="7"/>
      <c r="O24" s="7"/>
      <c r="P24" s="7"/>
      <c r="Q24" s="7"/>
      <c r="R24" s="7"/>
      <c r="S24" s="7"/>
      <c r="T24" s="7"/>
      <c r="U24" s="7"/>
      <c r="V24" s="7"/>
      <c r="W24" s="7"/>
    </row>
    <row r="25" spans="1:23" x14ac:dyDescent="0.25">
      <c r="A25" s="7"/>
      <c r="B25" s="7"/>
      <c r="C25" s="7"/>
      <c r="D25" s="7"/>
      <c r="E25" s="7"/>
      <c r="F25" s="7"/>
      <c r="G25" s="7"/>
      <c r="H25" s="7"/>
      <c r="I25" s="7"/>
      <c r="J25" s="7"/>
      <c r="K25" s="7"/>
      <c r="L25" s="7"/>
      <c r="M25" s="7"/>
      <c r="N25" s="7"/>
      <c r="O25" s="7"/>
      <c r="P25" s="7"/>
      <c r="Q25" s="7"/>
      <c r="R25" s="7"/>
      <c r="S25" s="7"/>
      <c r="T25" s="7"/>
      <c r="U25" s="7"/>
      <c r="V25" s="7"/>
      <c r="W25" s="7"/>
    </row>
    <row r="26" spans="1:23" x14ac:dyDescent="0.25">
      <c r="A26" s="7"/>
      <c r="B26" s="7"/>
      <c r="C26" s="7"/>
      <c r="D26" s="7"/>
      <c r="E26" s="7"/>
      <c r="F26" s="7"/>
      <c r="G26" s="7"/>
      <c r="H26" s="7"/>
      <c r="I26" s="7"/>
      <c r="J26" s="7"/>
      <c r="K26" s="7"/>
      <c r="L26" s="7"/>
      <c r="M26" s="7"/>
      <c r="N26" s="7"/>
      <c r="O26" s="7"/>
      <c r="P26" s="7"/>
      <c r="Q26" s="7"/>
      <c r="R26" s="7"/>
      <c r="S26" s="7"/>
      <c r="T26" s="7"/>
      <c r="U26" s="7"/>
      <c r="V26" s="7"/>
      <c r="W26" s="7"/>
    </row>
    <row r="27" spans="1:23" x14ac:dyDescent="0.25">
      <c r="A27" s="7"/>
      <c r="B27" s="7"/>
      <c r="C27" s="7"/>
      <c r="D27" s="7"/>
      <c r="E27" s="7"/>
      <c r="F27" s="7"/>
      <c r="G27" s="7"/>
      <c r="H27" s="7"/>
      <c r="I27" s="7"/>
      <c r="J27" s="7"/>
      <c r="K27" s="7"/>
      <c r="L27" s="7"/>
      <c r="M27" s="7"/>
      <c r="N27" s="7"/>
      <c r="O27" s="7"/>
      <c r="P27" s="7"/>
      <c r="Q27" s="7"/>
      <c r="R27" s="7"/>
      <c r="S27" s="7"/>
      <c r="T27" s="7"/>
      <c r="U27" s="7"/>
      <c r="V27" s="7"/>
      <c r="W27" s="7"/>
    </row>
    <row r="28" spans="1:23" x14ac:dyDescent="0.25">
      <c r="A28" s="7"/>
      <c r="B28" s="7"/>
      <c r="C28" s="7"/>
      <c r="D28" s="7"/>
      <c r="E28" s="7"/>
      <c r="F28" s="7"/>
      <c r="G28" s="7"/>
      <c r="H28" s="7"/>
      <c r="I28" s="7"/>
      <c r="J28" s="7"/>
      <c r="K28" s="7"/>
      <c r="L28" s="7"/>
      <c r="M28" s="7"/>
      <c r="N28" s="7"/>
      <c r="O28" s="7"/>
      <c r="P28" s="7"/>
      <c r="Q28" s="7"/>
      <c r="R28" s="7"/>
      <c r="S28" s="7"/>
      <c r="T28" s="7"/>
      <c r="U28" s="7"/>
      <c r="V28" s="7"/>
      <c r="W28" s="7"/>
    </row>
    <row r="29" spans="1:23" x14ac:dyDescent="0.25">
      <c r="A29" s="7"/>
      <c r="B29" s="7"/>
      <c r="C29" s="7"/>
      <c r="D29" s="7"/>
      <c r="E29" s="7"/>
      <c r="F29" s="7"/>
      <c r="G29" s="7"/>
      <c r="H29" s="7"/>
      <c r="I29" s="7"/>
      <c r="J29" s="7"/>
      <c r="K29" s="7"/>
      <c r="L29" s="7"/>
      <c r="M29" s="7"/>
      <c r="N29" s="7"/>
      <c r="O29" s="7"/>
      <c r="P29" s="7"/>
      <c r="Q29" s="7"/>
      <c r="R29" s="7"/>
      <c r="S29" s="7"/>
      <c r="T29" s="7"/>
      <c r="U29" s="7"/>
      <c r="V29" s="7"/>
      <c r="W29" s="7"/>
    </row>
    <row r="30" spans="1:23" x14ac:dyDescent="0.25">
      <c r="A30" s="7"/>
      <c r="B30" s="7"/>
      <c r="C30" s="7"/>
      <c r="D30" s="7"/>
      <c r="E30" s="7"/>
      <c r="F30" s="7"/>
      <c r="G30" s="7"/>
      <c r="H30" s="7"/>
      <c r="I30" s="7"/>
      <c r="J30" s="7"/>
      <c r="K30" s="7"/>
      <c r="L30" s="7"/>
      <c r="M30" s="7"/>
      <c r="N30" s="7"/>
      <c r="O30" s="7"/>
      <c r="P30" s="7"/>
      <c r="Q30" s="7"/>
      <c r="R30" s="7"/>
      <c r="S30" s="7"/>
      <c r="T30" s="7"/>
      <c r="U30" s="7"/>
      <c r="V30" s="7"/>
      <c r="W30" s="7"/>
    </row>
    <row r="31" spans="1:23" x14ac:dyDescent="0.25">
      <c r="A31" s="7"/>
      <c r="B31" s="7"/>
      <c r="C31" s="7"/>
      <c r="D31" s="7"/>
      <c r="E31" s="7"/>
      <c r="F31" s="7"/>
      <c r="G31" s="7"/>
      <c r="H31" s="7"/>
      <c r="I31" s="7"/>
      <c r="J31" s="7"/>
      <c r="K31" s="7"/>
      <c r="L31" s="7"/>
      <c r="M31" s="7"/>
      <c r="N31" s="7"/>
      <c r="O31" s="7"/>
      <c r="P31" s="7"/>
      <c r="Q31" s="7"/>
      <c r="R31" s="7"/>
      <c r="S31" s="7"/>
      <c r="T31" s="7"/>
      <c r="U31" s="7"/>
      <c r="V31" s="7"/>
      <c r="W31" s="7"/>
    </row>
    <row r="32" spans="1:23" x14ac:dyDescent="0.25">
      <c r="A32" s="7"/>
      <c r="B32" s="7"/>
      <c r="C32" s="7"/>
      <c r="D32" s="7"/>
      <c r="E32" s="7"/>
      <c r="F32" s="7"/>
      <c r="G32" s="7"/>
      <c r="H32" s="7"/>
      <c r="I32" s="7"/>
      <c r="J32" s="7"/>
      <c r="K32" s="7"/>
      <c r="L32" s="7"/>
      <c r="M32" s="7"/>
      <c r="N32" s="7"/>
      <c r="O32" s="7"/>
      <c r="P32" s="7"/>
      <c r="Q32" s="7"/>
      <c r="R32" s="7"/>
      <c r="S32" s="7"/>
      <c r="T32" s="7"/>
      <c r="U32" s="7"/>
      <c r="V32" s="7"/>
      <c r="W32" s="7"/>
    </row>
    <row r="33" spans="1:23" x14ac:dyDescent="0.25">
      <c r="A33" s="7"/>
      <c r="B33" s="7"/>
      <c r="C33" s="7"/>
      <c r="D33" s="7"/>
      <c r="E33" s="7"/>
      <c r="F33" s="7"/>
      <c r="G33" s="7"/>
      <c r="H33" s="7"/>
      <c r="I33" s="7"/>
      <c r="J33" s="7"/>
      <c r="K33" s="7"/>
      <c r="L33" s="7"/>
      <c r="M33" s="7"/>
      <c r="N33" s="7"/>
      <c r="O33" s="7"/>
      <c r="P33" s="7"/>
      <c r="Q33" s="7"/>
      <c r="R33" s="7"/>
      <c r="S33" s="7"/>
      <c r="T33" s="7"/>
      <c r="U33" s="7"/>
      <c r="V33" s="7"/>
      <c r="W33" s="7"/>
    </row>
    <row r="34" spans="1:23" x14ac:dyDescent="0.25">
      <c r="A34" s="7"/>
      <c r="B34" s="7"/>
      <c r="C34" s="7"/>
      <c r="D34" s="7"/>
      <c r="E34" s="7"/>
      <c r="F34" s="7"/>
      <c r="G34" s="7"/>
      <c r="H34" s="7"/>
      <c r="I34" s="7"/>
      <c r="J34" s="7"/>
      <c r="K34" s="7"/>
      <c r="L34" s="7"/>
      <c r="M34" s="7"/>
      <c r="N34" s="7"/>
      <c r="O34" s="7"/>
      <c r="P34" s="7"/>
      <c r="Q34" s="7"/>
      <c r="R34" s="7"/>
      <c r="S34" s="7"/>
      <c r="T34" s="7"/>
      <c r="U34" s="7"/>
      <c r="V34" s="7"/>
      <c r="W34" s="7"/>
    </row>
    <row r="35" spans="1:23" x14ac:dyDescent="0.25">
      <c r="A35" s="7"/>
      <c r="B35" s="7"/>
      <c r="C35" s="7"/>
      <c r="D35" s="7"/>
      <c r="E35" s="7"/>
      <c r="F35" s="7"/>
      <c r="G35" s="7"/>
      <c r="H35" s="7"/>
      <c r="I35" s="7"/>
      <c r="J35" s="7"/>
      <c r="K35" s="7"/>
      <c r="L35" s="7"/>
      <c r="M35" s="7"/>
      <c r="N35" s="7"/>
      <c r="O35" s="7"/>
      <c r="P35" s="7"/>
      <c r="Q35" s="7"/>
      <c r="R35" s="7"/>
      <c r="S35" s="7"/>
      <c r="T35" s="7"/>
      <c r="U35" s="7"/>
      <c r="V35" s="7"/>
      <c r="W35" s="7"/>
    </row>
    <row r="36" spans="1:23" x14ac:dyDescent="0.25">
      <c r="A36" s="7"/>
      <c r="B36" s="7"/>
      <c r="C36" s="7"/>
      <c r="D36" s="7"/>
      <c r="E36" s="7"/>
      <c r="F36" s="7"/>
      <c r="G36" s="7"/>
      <c r="H36" s="7"/>
      <c r="I36" s="7"/>
      <c r="J36" s="7"/>
      <c r="K36" s="7"/>
      <c r="L36" s="7"/>
      <c r="M36" s="7"/>
      <c r="N36" s="7"/>
      <c r="O36" s="7"/>
      <c r="P36" s="7"/>
      <c r="Q36" s="7"/>
      <c r="R36" s="7"/>
      <c r="S36" s="7"/>
      <c r="T36" s="7"/>
      <c r="U36" s="7"/>
      <c r="V36" s="7"/>
      <c r="W36" s="7"/>
    </row>
    <row r="37" spans="1:23" x14ac:dyDescent="0.25">
      <c r="A37" s="7"/>
      <c r="B37" s="7"/>
      <c r="C37" s="7"/>
      <c r="D37" s="7"/>
      <c r="E37" s="7"/>
      <c r="F37" s="7"/>
      <c r="G37" s="7"/>
      <c r="H37" s="7"/>
      <c r="I37" s="7"/>
      <c r="J37" s="7"/>
      <c r="K37" s="7"/>
      <c r="L37" s="7"/>
      <c r="M37" s="7"/>
      <c r="N37" s="7"/>
      <c r="O37" s="7"/>
      <c r="P37" s="7"/>
      <c r="Q37" s="7"/>
      <c r="R37" s="7"/>
      <c r="S37" s="7"/>
      <c r="T37" s="7"/>
      <c r="U37" s="7"/>
      <c r="V37" s="7"/>
      <c r="W37" s="7"/>
    </row>
    <row r="38" spans="1:23" x14ac:dyDescent="0.25">
      <c r="A38" s="7"/>
      <c r="B38" s="7"/>
      <c r="C38" s="7"/>
      <c r="D38" s="7"/>
      <c r="E38" s="7"/>
      <c r="F38" s="7"/>
      <c r="G38" s="7"/>
      <c r="H38" s="7"/>
      <c r="I38" s="7"/>
      <c r="J38" s="7"/>
      <c r="K38" s="7"/>
      <c r="L38" s="7"/>
      <c r="M38" s="7"/>
      <c r="N38" s="7"/>
      <c r="O38" s="7"/>
      <c r="P38" s="7"/>
      <c r="Q38" s="7"/>
      <c r="R38" s="7"/>
      <c r="S38" s="7"/>
      <c r="T38" s="7"/>
      <c r="U38" s="7"/>
      <c r="V38" s="7"/>
      <c r="W38" s="7"/>
    </row>
    <row r="39" spans="1:23" x14ac:dyDescent="0.25">
      <c r="A39" s="7"/>
      <c r="B39" s="7"/>
      <c r="C39" s="7"/>
      <c r="D39" s="7"/>
      <c r="E39" s="7"/>
      <c r="F39" s="7"/>
      <c r="G39" s="7"/>
      <c r="H39" s="7"/>
      <c r="I39" s="7"/>
      <c r="J39" s="7"/>
      <c r="K39" s="7"/>
      <c r="L39" s="7"/>
      <c r="M39" s="7"/>
      <c r="N39" s="7"/>
      <c r="O39" s="7"/>
      <c r="P39" s="7"/>
      <c r="Q39" s="7"/>
      <c r="R39" s="7"/>
      <c r="S39" s="7"/>
      <c r="T39" s="7"/>
      <c r="U39" s="7"/>
      <c r="V39" s="7"/>
      <c r="W39" s="7"/>
    </row>
    <row r="40" spans="1:23" x14ac:dyDescent="0.25">
      <c r="A40" s="7"/>
      <c r="B40" s="7"/>
      <c r="C40" s="7"/>
      <c r="D40" s="7"/>
      <c r="E40" s="7"/>
      <c r="F40" s="7"/>
      <c r="G40" s="7"/>
      <c r="H40" s="7"/>
      <c r="I40" s="7"/>
      <c r="J40" s="7"/>
      <c r="K40" s="7"/>
      <c r="L40" s="7"/>
      <c r="M40" s="7"/>
      <c r="N40" s="7"/>
      <c r="O40" s="7"/>
      <c r="P40" s="7"/>
      <c r="Q40" s="7"/>
      <c r="R40" s="7"/>
      <c r="S40" s="7"/>
      <c r="T40" s="7"/>
      <c r="U40" s="7"/>
      <c r="V40" s="7"/>
      <c r="W40" s="7"/>
    </row>
    <row r="41" spans="1:23" x14ac:dyDescent="0.25">
      <c r="A41" s="7"/>
      <c r="B41" s="7"/>
      <c r="C41" s="7"/>
      <c r="D41" s="7"/>
      <c r="E41" s="7"/>
      <c r="F41" s="7"/>
      <c r="G41" s="7"/>
      <c r="H41" s="7"/>
      <c r="I41" s="7"/>
      <c r="J41" s="7"/>
      <c r="K41" s="7"/>
      <c r="L41" s="7"/>
      <c r="M41" s="7"/>
      <c r="N41" s="7"/>
      <c r="O41" s="7"/>
      <c r="P41" s="7"/>
      <c r="Q41" s="7"/>
      <c r="R41" s="7"/>
      <c r="S41" s="7"/>
      <c r="T41" s="7"/>
      <c r="U41" s="7"/>
      <c r="V41" s="7"/>
      <c r="W41" s="7"/>
    </row>
    <row r="42" spans="1:23" x14ac:dyDescent="0.25">
      <c r="A42" s="7"/>
      <c r="B42" s="7"/>
      <c r="C42" s="7"/>
      <c r="D42" s="7"/>
      <c r="E42" s="7"/>
      <c r="F42" s="7"/>
      <c r="G42" s="7"/>
      <c r="H42" s="7"/>
      <c r="I42" s="7"/>
      <c r="J42" s="7"/>
      <c r="K42" s="7"/>
      <c r="L42" s="7"/>
      <c r="M42" s="7"/>
      <c r="N42" s="7"/>
      <c r="O42" s="7"/>
      <c r="P42" s="7"/>
      <c r="Q42" s="7"/>
      <c r="R42" s="7"/>
      <c r="S42" s="7"/>
      <c r="T42" s="7"/>
      <c r="U42" s="7"/>
      <c r="V42" s="7"/>
      <c r="W42" s="7"/>
    </row>
    <row r="43" spans="1:23" x14ac:dyDescent="0.25">
      <c r="A43" s="7"/>
      <c r="B43" s="7"/>
      <c r="C43" s="7"/>
      <c r="D43" s="7"/>
      <c r="E43" s="7"/>
      <c r="F43" s="7"/>
      <c r="G43" s="7"/>
      <c r="H43" s="7"/>
      <c r="I43" s="7"/>
      <c r="J43" s="7"/>
      <c r="K43" s="7"/>
      <c r="L43" s="7"/>
      <c r="M43" s="7"/>
      <c r="N43" s="7"/>
      <c r="O43" s="7"/>
      <c r="P43" s="7"/>
      <c r="Q43" s="7"/>
      <c r="R43" s="7"/>
      <c r="S43" s="7"/>
      <c r="T43" s="7"/>
      <c r="U43" s="7"/>
      <c r="V43" s="7"/>
      <c r="W43" s="7"/>
    </row>
    <row r="44" spans="1:23" x14ac:dyDescent="0.25">
      <c r="A44" s="7"/>
      <c r="B44" s="7"/>
      <c r="C44" s="7"/>
      <c r="D44" s="7"/>
      <c r="E44" s="7"/>
      <c r="F44" s="7"/>
      <c r="G44" s="7"/>
      <c r="H44" s="7"/>
      <c r="I44" s="7"/>
      <c r="J44" s="7"/>
      <c r="K44" s="7"/>
      <c r="L44" s="7"/>
      <c r="M44" s="7"/>
      <c r="N44" s="7"/>
      <c r="O44" s="7"/>
      <c r="P44" s="7"/>
      <c r="Q44" s="7"/>
      <c r="R44" s="7"/>
      <c r="S44" s="7"/>
      <c r="T44" s="7"/>
      <c r="U44" s="7"/>
      <c r="V44" s="7"/>
      <c r="W44" s="7"/>
    </row>
    <row r="45" spans="1:23" x14ac:dyDescent="0.25">
      <c r="A45" s="7"/>
      <c r="B45" s="7"/>
      <c r="C45" s="7"/>
      <c r="D45" s="7"/>
      <c r="E45" s="7"/>
      <c r="F45" s="7"/>
      <c r="G45" s="7"/>
      <c r="H45" s="7"/>
      <c r="I45" s="7"/>
      <c r="J45" s="7"/>
      <c r="K45" s="7"/>
      <c r="L45" s="7"/>
      <c r="M45" s="7"/>
      <c r="N45" s="7"/>
      <c r="O45" s="7"/>
      <c r="P45" s="7"/>
      <c r="Q45" s="7"/>
      <c r="R45" s="7"/>
      <c r="S45" s="7"/>
      <c r="T45" s="7"/>
      <c r="U45" s="7"/>
      <c r="V45" s="7"/>
      <c r="W45" s="7"/>
    </row>
    <row r="46" spans="1:23" x14ac:dyDescent="0.25">
      <c r="A46" s="7"/>
      <c r="B46" s="7"/>
      <c r="C46" s="7"/>
      <c r="D46" s="7"/>
      <c r="E46" s="7"/>
      <c r="F46" s="7"/>
      <c r="G46" s="7"/>
      <c r="H46" s="7"/>
      <c r="I46" s="7"/>
      <c r="J46" s="7"/>
      <c r="K46" s="7"/>
      <c r="L46" s="7"/>
      <c r="M46" s="7"/>
      <c r="N46" s="7"/>
      <c r="O46" s="7"/>
      <c r="P46" s="7"/>
      <c r="Q46" s="7"/>
      <c r="R46" s="7"/>
      <c r="S46" s="7"/>
      <c r="T46" s="7"/>
      <c r="U46" s="7"/>
      <c r="V46" s="7"/>
      <c r="W46" s="7"/>
    </row>
    <row r="47" spans="1:23" x14ac:dyDescent="0.25">
      <c r="A47" s="7"/>
      <c r="B47" s="7"/>
      <c r="C47" s="7"/>
      <c r="D47" s="7"/>
      <c r="E47" s="7"/>
      <c r="F47" s="7"/>
      <c r="G47" s="7"/>
      <c r="H47" s="7"/>
      <c r="I47" s="7"/>
      <c r="J47" s="7"/>
      <c r="K47" s="7"/>
      <c r="L47" s="7"/>
      <c r="M47" s="7"/>
      <c r="N47" s="7"/>
      <c r="O47" s="7"/>
      <c r="P47" s="7"/>
      <c r="Q47" s="7"/>
      <c r="R47" s="7"/>
      <c r="S47" s="7"/>
      <c r="T47" s="7"/>
      <c r="U47" s="7"/>
      <c r="V47" s="7"/>
      <c r="W47" s="7"/>
    </row>
    <row r="48" spans="1:23" x14ac:dyDescent="0.25">
      <c r="A48" s="7"/>
      <c r="B48" s="7"/>
      <c r="C48" s="7"/>
      <c r="D48" s="7"/>
      <c r="E48" s="7"/>
      <c r="F48" s="7"/>
      <c r="G48" s="7"/>
      <c r="H48" s="7"/>
      <c r="I48" s="7"/>
      <c r="J48" s="7"/>
      <c r="K48" s="7"/>
      <c r="L48" s="7"/>
      <c r="M48" s="7"/>
      <c r="N48" s="7"/>
      <c r="O48" s="7"/>
      <c r="P48" s="7"/>
      <c r="Q48" s="7"/>
      <c r="R48" s="7"/>
      <c r="S48" s="7"/>
      <c r="T48" s="7"/>
      <c r="U48" s="7"/>
      <c r="V48" s="7"/>
      <c r="W48" s="7"/>
    </row>
    <row r="49" spans="1:23" x14ac:dyDescent="0.25">
      <c r="A49" s="7"/>
      <c r="B49" s="7"/>
      <c r="C49" s="7"/>
      <c r="D49" s="7"/>
      <c r="E49" s="7"/>
      <c r="F49" s="7"/>
      <c r="G49" s="7"/>
      <c r="H49" s="7"/>
      <c r="I49" s="7"/>
      <c r="J49" s="7"/>
      <c r="K49" s="7"/>
      <c r="L49" s="7"/>
      <c r="M49" s="7"/>
      <c r="N49" s="7"/>
      <c r="O49" s="7"/>
      <c r="P49" s="7"/>
      <c r="Q49" s="7"/>
      <c r="R49" s="7"/>
      <c r="S49" s="7"/>
      <c r="T49" s="7"/>
      <c r="U49" s="7"/>
      <c r="V49" s="7"/>
      <c r="W49" s="7"/>
    </row>
    <row r="50" spans="1:23" x14ac:dyDescent="0.25">
      <c r="A50" s="7"/>
      <c r="B50" s="7"/>
      <c r="C50" s="7"/>
      <c r="D50" s="7"/>
      <c r="E50" s="7"/>
      <c r="F50" s="7"/>
      <c r="G50" s="7"/>
      <c r="H50" s="7"/>
      <c r="I50" s="7"/>
      <c r="J50" s="7"/>
      <c r="K50" s="7"/>
      <c r="L50" s="7"/>
      <c r="M50" s="7"/>
      <c r="N50" s="7"/>
      <c r="O50" s="7"/>
      <c r="P50" s="7"/>
      <c r="Q50" s="7"/>
      <c r="R50" s="7"/>
      <c r="S50" s="7"/>
      <c r="T50" s="7"/>
      <c r="U50" s="7"/>
      <c r="V50" s="7"/>
      <c r="W50" s="7"/>
    </row>
    <row r="51" spans="1:23" x14ac:dyDescent="0.25">
      <c r="A51" s="7"/>
      <c r="B51" s="7"/>
      <c r="C51" s="7"/>
      <c r="D51" s="7"/>
      <c r="E51" s="7"/>
      <c r="F51" s="7"/>
      <c r="G51" s="7"/>
      <c r="H51" s="7"/>
      <c r="I51" s="7"/>
      <c r="J51" s="7"/>
      <c r="K51" s="7"/>
      <c r="L51" s="7"/>
      <c r="M51" s="7"/>
      <c r="N51" s="7"/>
      <c r="O51" s="7"/>
      <c r="P51" s="7"/>
      <c r="Q51" s="7"/>
      <c r="R51" s="7"/>
      <c r="S51" s="7"/>
      <c r="T51" s="7"/>
      <c r="U51" s="7"/>
      <c r="V51" s="7"/>
      <c r="W51" s="7"/>
    </row>
    <row r="52" spans="1:23" x14ac:dyDescent="0.25">
      <c r="A52" s="7"/>
      <c r="B52" s="7"/>
      <c r="C52" s="7"/>
      <c r="D52" s="7"/>
      <c r="E52" s="7"/>
      <c r="F52" s="7"/>
      <c r="G52" s="7"/>
      <c r="H52" s="7"/>
      <c r="I52" s="7"/>
      <c r="J52" s="7"/>
      <c r="K52" s="7"/>
      <c r="L52" s="7"/>
      <c r="M52" s="7"/>
      <c r="N52" s="7"/>
      <c r="O52" s="7"/>
      <c r="P52" s="7"/>
      <c r="Q52" s="7"/>
      <c r="R52" s="7"/>
      <c r="S52" s="7"/>
      <c r="T52" s="7"/>
      <c r="U52" s="7"/>
      <c r="V52" s="7"/>
      <c r="W52" s="7"/>
    </row>
    <row r="53" spans="1:23" x14ac:dyDescent="0.25">
      <c r="A53" s="7"/>
      <c r="B53" s="7"/>
      <c r="C53" s="7"/>
      <c r="D53" s="7"/>
      <c r="E53" s="7"/>
      <c r="F53" s="7"/>
      <c r="G53" s="7"/>
      <c r="H53" s="7"/>
      <c r="I53" s="7"/>
      <c r="J53" s="7"/>
      <c r="K53" s="7"/>
      <c r="L53" s="7"/>
      <c r="M53" s="7"/>
      <c r="N53" s="7"/>
      <c r="O53" s="7"/>
      <c r="P53" s="7"/>
      <c r="Q53" s="7"/>
      <c r="R53" s="7"/>
      <c r="S53" s="7"/>
      <c r="T53" s="7"/>
      <c r="U53" s="7"/>
      <c r="V53" s="7"/>
      <c r="W53" s="7"/>
    </row>
    <row r="54" spans="1:23" x14ac:dyDescent="0.25">
      <c r="A54" s="7"/>
      <c r="B54" s="7"/>
      <c r="C54" s="7"/>
      <c r="D54" s="7"/>
      <c r="E54" s="7"/>
      <c r="F54" s="7"/>
      <c r="G54" s="7"/>
      <c r="H54" s="7"/>
      <c r="I54" s="7"/>
      <c r="J54" s="7"/>
      <c r="K54" s="7"/>
      <c r="L54" s="7"/>
      <c r="M54" s="7"/>
      <c r="N54" s="7"/>
      <c r="O54" s="7"/>
      <c r="P54" s="7"/>
      <c r="Q54" s="7"/>
      <c r="R54" s="7"/>
      <c r="S54" s="7"/>
      <c r="T54" s="7"/>
      <c r="U54" s="7"/>
      <c r="V54" s="7"/>
      <c r="W54" s="7"/>
    </row>
    <row r="55" spans="1:23" x14ac:dyDescent="0.25">
      <c r="A55" s="7"/>
      <c r="B55" s="7"/>
      <c r="C55" s="7"/>
      <c r="D55" s="7"/>
      <c r="E55" s="7"/>
      <c r="F55" s="7"/>
      <c r="G55" s="7"/>
      <c r="H55" s="7"/>
      <c r="I55" s="7"/>
      <c r="J55" s="7"/>
      <c r="K55" s="7"/>
      <c r="L55" s="7"/>
      <c r="M55" s="7"/>
      <c r="N55" s="7"/>
      <c r="O55" s="7"/>
      <c r="P55" s="7"/>
      <c r="Q55" s="7"/>
      <c r="R55" s="7"/>
      <c r="S55" s="7"/>
      <c r="T55" s="7"/>
      <c r="U55" s="7"/>
      <c r="V55" s="7"/>
      <c r="W55" s="7"/>
    </row>
    <row r="56" spans="1:23" x14ac:dyDescent="0.25">
      <c r="A56" s="7"/>
      <c r="B56" s="7"/>
      <c r="C56" s="7"/>
      <c r="D56" s="7"/>
      <c r="E56" s="7"/>
      <c r="F56" s="7"/>
      <c r="G56" s="7"/>
      <c r="H56" s="7"/>
      <c r="I56" s="7"/>
      <c r="J56" s="7"/>
      <c r="K56" s="7"/>
      <c r="L56" s="7"/>
      <c r="M56" s="7"/>
      <c r="N56" s="7"/>
      <c r="O56" s="7"/>
      <c r="P56" s="7"/>
      <c r="Q56" s="7"/>
      <c r="R56" s="7"/>
      <c r="S56" s="7"/>
      <c r="T56" s="7"/>
      <c r="U56" s="7"/>
      <c r="V56" s="7"/>
      <c r="W56" s="7"/>
    </row>
    <row r="57" spans="1:23" x14ac:dyDescent="0.25">
      <c r="A57" s="7"/>
      <c r="B57" s="7"/>
      <c r="C57" s="7"/>
      <c r="D57" s="7"/>
      <c r="E57" s="7"/>
      <c r="F57" s="7"/>
      <c r="G57" s="7"/>
      <c r="H57" s="7"/>
      <c r="I57" s="7"/>
      <c r="J57" s="7"/>
      <c r="K57" s="7"/>
      <c r="L57" s="7"/>
      <c r="M57" s="7"/>
      <c r="N57" s="7"/>
      <c r="O57" s="7"/>
      <c r="P57" s="7"/>
      <c r="Q57" s="7"/>
      <c r="R57" s="7"/>
      <c r="S57" s="7"/>
      <c r="T57" s="7"/>
      <c r="U57" s="7"/>
      <c r="V57" s="7"/>
      <c r="W57" s="7"/>
    </row>
    <row r="58" spans="1:23" x14ac:dyDescent="0.25">
      <c r="A58" s="7"/>
      <c r="B58" s="7"/>
      <c r="C58" s="7"/>
      <c r="D58" s="7"/>
      <c r="E58" s="7"/>
      <c r="F58" s="7"/>
      <c r="G58" s="7"/>
      <c r="H58" s="7"/>
      <c r="I58" s="7"/>
      <c r="J58" s="7"/>
      <c r="K58" s="7"/>
      <c r="L58" s="7"/>
      <c r="M58" s="7"/>
      <c r="N58" s="7"/>
      <c r="O58" s="7"/>
      <c r="P58" s="7"/>
      <c r="Q58" s="7"/>
      <c r="R58" s="7"/>
      <c r="S58" s="7"/>
      <c r="T58" s="7"/>
      <c r="U58" s="7"/>
      <c r="V58" s="7"/>
      <c r="W58" s="7"/>
    </row>
    <row r="59" spans="1:23" x14ac:dyDescent="0.25">
      <c r="A59" s="7"/>
      <c r="B59" s="7"/>
      <c r="C59" s="7"/>
      <c r="D59" s="7"/>
      <c r="E59" s="7"/>
      <c r="F59" s="7"/>
      <c r="G59" s="7"/>
      <c r="H59" s="7"/>
      <c r="I59" s="7"/>
      <c r="J59" s="7"/>
      <c r="K59" s="7"/>
      <c r="L59" s="7"/>
      <c r="M59" s="7"/>
      <c r="N59" s="7"/>
      <c r="O59" s="7"/>
      <c r="P59" s="7"/>
      <c r="Q59" s="7"/>
      <c r="R59" s="7"/>
      <c r="S59" s="7"/>
      <c r="T59" s="7"/>
      <c r="U59" s="7"/>
      <c r="V59" s="7"/>
      <c r="W59" s="7"/>
    </row>
    <row r="60" spans="1:23" x14ac:dyDescent="0.25">
      <c r="A60" s="7"/>
      <c r="B60" s="7"/>
      <c r="C60" s="7"/>
      <c r="D60" s="7"/>
      <c r="E60" s="7"/>
      <c r="F60" s="7"/>
      <c r="G60" s="7"/>
      <c r="H60" s="7"/>
      <c r="I60" s="7"/>
      <c r="J60" s="7"/>
      <c r="K60" s="7"/>
      <c r="L60" s="7"/>
      <c r="M60" s="7"/>
      <c r="N60" s="7"/>
      <c r="O60" s="7"/>
      <c r="P60" s="7"/>
      <c r="Q60" s="7"/>
      <c r="R60" s="7"/>
      <c r="S60" s="7"/>
      <c r="T60" s="7"/>
      <c r="U60" s="7"/>
      <c r="V60" s="7"/>
      <c r="W60" s="7"/>
    </row>
    <row r="61" spans="1:23" x14ac:dyDescent="0.25">
      <c r="A61" s="7"/>
      <c r="B61" s="7"/>
      <c r="C61" s="7"/>
      <c r="D61" s="7"/>
      <c r="E61" s="7"/>
      <c r="F61" s="7"/>
      <c r="G61" s="7"/>
      <c r="H61" s="7"/>
      <c r="I61" s="7"/>
      <c r="J61" s="7"/>
      <c r="K61" s="7"/>
      <c r="L61" s="7"/>
      <c r="M61" s="7"/>
      <c r="N61" s="7"/>
      <c r="O61" s="7"/>
      <c r="P61" s="7"/>
      <c r="Q61" s="7"/>
      <c r="R61" s="7"/>
      <c r="S61" s="7"/>
      <c r="T61" s="7"/>
      <c r="U61" s="7"/>
      <c r="V61" s="7"/>
      <c r="W61" s="7"/>
    </row>
    <row r="62" spans="1:23" x14ac:dyDescent="0.25">
      <c r="A62" s="7"/>
      <c r="B62" s="7"/>
      <c r="C62" s="7"/>
      <c r="D62" s="7"/>
      <c r="E62" s="7"/>
      <c r="F62" s="7"/>
      <c r="G62" s="7"/>
      <c r="H62" s="7"/>
      <c r="I62" s="7"/>
      <c r="J62" s="7"/>
      <c r="K62" s="7"/>
      <c r="L62" s="7"/>
      <c r="M62" s="7"/>
      <c r="N62" s="7"/>
      <c r="O62" s="7"/>
      <c r="P62" s="7"/>
      <c r="Q62" s="7"/>
      <c r="R62" s="7"/>
      <c r="S62" s="7"/>
      <c r="T62" s="7"/>
      <c r="U62" s="7"/>
      <c r="V62" s="7"/>
      <c r="W62" s="7"/>
    </row>
    <row r="63" spans="1:23" x14ac:dyDescent="0.25">
      <c r="A63" s="7"/>
      <c r="B63" s="7"/>
      <c r="C63" s="7"/>
      <c r="D63" s="7"/>
      <c r="E63" s="7"/>
      <c r="F63" s="7"/>
      <c r="G63" s="7"/>
      <c r="H63" s="7"/>
      <c r="I63" s="7"/>
      <c r="J63" s="7"/>
      <c r="K63" s="7"/>
      <c r="L63" s="7"/>
      <c r="M63" s="7"/>
      <c r="N63" s="7"/>
      <c r="O63" s="7"/>
      <c r="P63" s="7"/>
      <c r="Q63" s="7"/>
      <c r="R63" s="7"/>
      <c r="S63" s="7"/>
      <c r="T63" s="7"/>
      <c r="U63" s="7"/>
      <c r="V63" s="7"/>
      <c r="W63" s="7"/>
    </row>
    <row r="64" spans="1:23" x14ac:dyDescent="0.25">
      <c r="A64" s="7"/>
      <c r="B64" s="7"/>
      <c r="C64" s="7"/>
      <c r="D64" s="7"/>
      <c r="E64" s="7"/>
      <c r="F64" s="7"/>
      <c r="G64" s="7"/>
      <c r="H64" s="7"/>
      <c r="I64" s="7"/>
      <c r="J64" s="7"/>
      <c r="K64" s="7"/>
      <c r="L64" s="7"/>
      <c r="M64" s="7"/>
      <c r="N64" s="7"/>
      <c r="O64" s="7"/>
      <c r="P64" s="7"/>
      <c r="Q64" s="7"/>
      <c r="R64" s="7"/>
      <c r="S64" s="7"/>
      <c r="T64" s="7"/>
      <c r="U64" s="7"/>
      <c r="V64" s="7"/>
      <c r="W64" s="7"/>
    </row>
    <row r="65" spans="1:23" x14ac:dyDescent="0.25">
      <c r="A65" s="7"/>
      <c r="B65" s="7"/>
      <c r="C65" s="7"/>
      <c r="D65" s="7"/>
      <c r="E65" s="7"/>
      <c r="F65" s="7"/>
      <c r="G65" s="7"/>
      <c r="H65" s="7"/>
      <c r="I65" s="7"/>
      <c r="J65" s="7"/>
      <c r="K65" s="7"/>
      <c r="L65" s="7"/>
      <c r="M65" s="7"/>
      <c r="N65" s="7"/>
      <c r="O65" s="7"/>
      <c r="P65" s="7"/>
      <c r="Q65" s="7"/>
      <c r="R65" s="7"/>
      <c r="S65" s="7"/>
      <c r="T65" s="7"/>
      <c r="U65" s="7"/>
      <c r="V65" s="7"/>
      <c r="W65" s="7"/>
    </row>
    <row r="66" spans="1:23" x14ac:dyDescent="0.25">
      <c r="A66" s="7"/>
      <c r="B66" s="7"/>
      <c r="C66" s="7"/>
      <c r="D66" s="7"/>
      <c r="E66" s="7"/>
      <c r="F66" s="7"/>
      <c r="G66" s="7"/>
      <c r="H66" s="7"/>
      <c r="I66" s="7"/>
      <c r="J66" s="7"/>
      <c r="K66" s="7"/>
      <c r="L66" s="7"/>
      <c r="M66" s="7"/>
      <c r="N66" s="7"/>
      <c r="O66" s="7"/>
      <c r="P66" s="7"/>
      <c r="Q66" s="7"/>
      <c r="R66" s="7"/>
      <c r="S66" s="7"/>
      <c r="T66" s="7"/>
      <c r="U66" s="7"/>
      <c r="V66" s="7"/>
      <c r="W66" s="7"/>
    </row>
    <row r="67" spans="1:23" x14ac:dyDescent="0.25">
      <c r="A67" s="7"/>
      <c r="B67" s="7"/>
      <c r="C67" s="7"/>
      <c r="D67" s="7"/>
      <c r="E67" s="7"/>
      <c r="F67" s="7"/>
      <c r="G67" s="7"/>
      <c r="H67" s="7"/>
      <c r="I67" s="7"/>
      <c r="J67" s="7"/>
      <c r="K67" s="7"/>
      <c r="L67" s="7"/>
      <c r="M67" s="7"/>
      <c r="N67" s="7"/>
      <c r="O67" s="7"/>
      <c r="P67" s="7"/>
      <c r="Q67" s="7"/>
      <c r="R67" s="7"/>
      <c r="S67" s="7"/>
      <c r="T67" s="7"/>
      <c r="U67" s="7"/>
      <c r="V67" s="7"/>
      <c r="W67" s="7"/>
    </row>
    <row r="68" spans="1:23" x14ac:dyDescent="0.25">
      <c r="A68" s="7"/>
      <c r="B68" s="7"/>
      <c r="C68" s="7"/>
      <c r="D68" s="7"/>
      <c r="E68" s="7"/>
      <c r="F68" s="7"/>
      <c r="G68" s="7"/>
      <c r="H68" s="7"/>
      <c r="I68" s="7"/>
      <c r="J68" s="7"/>
      <c r="K68" s="7"/>
      <c r="L68" s="7"/>
      <c r="M68" s="7"/>
      <c r="N68" s="7"/>
      <c r="O68" s="7"/>
      <c r="P68" s="7"/>
      <c r="Q68" s="7"/>
      <c r="R68" s="7"/>
      <c r="S68" s="7"/>
      <c r="T68" s="7"/>
      <c r="U68" s="7"/>
      <c r="V68" s="7"/>
      <c r="W68" s="7"/>
    </row>
    <row r="69" spans="1:23" x14ac:dyDescent="0.25">
      <c r="A69" s="7"/>
      <c r="B69" s="7"/>
      <c r="C69" s="7"/>
      <c r="D69" s="7"/>
      <c r="E69" s="7"/>
      <c r="F69" s="7"/>
      <c r="G69" s="7"/>
      <c r="H69" s="7"/>
      <c r="I69" s="7"/>
      <c r="J69" s="7"/>
      <c r="K69" s="7"/>
      <c r="L69" s="7"/>
      <c r="M69" s="7"/>
      <c r="N69" s="7"/>
      <c r="O69" s="7"/>
      <c r="P69" s="7"/>
      <c r="Q69" s="7"/>
      <c r="R69" s="7"/>
      <c r="S69" s="7"/>
      <c r="T69" s="7"/>
      <c r="U69" s="7"/>
      <c r="V69" s="7"/>
      <c r="W69" s="7"/>
    </row>
    <row r="70" spans="1:23" x14ac:dyDescent="0.25">
      <c r="A70" s="7"/>
      <c r="B70" s="7"/>
      <c r="C70" s="7"/>
      <c r="D70" s="7"/>
      <c r="E70" s="7"/>
      <c r="F70" s="7"/>
      <c r="G70" s="7"/>
      <c r="H70" s="7"/>
      <c r="I70" s="7"/>
      <c r="J70" s="7"/>
      <c r="K70" s="7"/>
      <c r="L70" s="7"/>
      <c r="M70" s="7"/>
      <c r="N70" s="7"/>
      <c r="O70" s="7"/>
      <c r="P70" s="7"/>
      <c r="Q70" s="7"/>
      <c r="R70" s="7"/>
      <c r="S70" s="7"/>
      <c r="T70" s="7"/>
      <c r="U70" s="7"/>
      <c r="V70" s="7"/>
      <c r="W70" s="7"/>
    </row>
    <row r="71" spans="1:23" x14ac:dyDescent="0.25">
      <c r="A71" s="7"/>
      <c r="B71" s="7"/>
      <c r="C71" s="7"/>
      <c r="D71" s="7"/>
      <c r="E71" s="7"/>
      <c r="F71" s="7"/>
      <c r="G71" s="7"/>
      <c r="H71" s="7"/>
      <c r="I71" s="7"/>
      <c r="J71" s="7"/>
      <c r="K71" s="7"/>
      <c r="L71" s="7"/>
      <c r="M71" s="7"/>
      <c r="N71" s="7"/>
      <c r="O71" s="7"/>
      <c r="P71" s="7"/>
      <c r="Q71" s="7"/>
      <c r="R71" s="7"/>
      <c r="S71" s="7"/>
      <c r="T71" s="7"/>
      <c r="U71" s="7"/>
      <c r="V71" s="7"/>
      <c r="W71" s="7"/>
    </row>
    <row r="72" spans="1:23" x14ac:dyDescent="0.25">
      <c r="A72" s="7"/>
      <c r="B72" s="7"/>
      <c r="C72" s="7"/>
      <c r="D72" s="7"/>
      <c r="E72" s="7"/>
      <c r="F72" s="7"/>
      <c r="G72" s="7"/>
      <c r="H72" s="7"/>
      <c r="I72" s="7"/>
      <c r="J72" s="7"/>
      <c r="K72" s="7"/>
      <c r="L72" s="7"/>
      <c r="M72" s="7"/>
      <c r="N72" s="7"/>
      <c r="O72" s="7"/>
      <c r="P72" s="7"/>
      <c r="Q72" s="7"/>
      <c r="R72" s="7"/>
      <c r="S72" s="7"/>
      <c r="T72" s="7"/>
      <c r="U72" s="7"/>
      <c r="V72" s="7"/>
      <c r="W72" s="7"/>
    </row>
    <row r="73" spans="1:23" x14ac:dyDescent="0.25">
      <c r="A73" s="7"/>
      <c r="B73" s="7"/>
      <c r="C73" s="7"/>
      <c r="D73" s="7"/>
      <c r="E73" s="7"/>
      <c r="F73" s="7"/>
      <c r="G73" s="7"/>
      <c r="H73" s="7"/>
      <c r="I73" s="7"/>
      <c r="J73" s="7"/>
      <c r="K73" s="7"/>
      <c r="L73" s="7"/>
      <c r="M73" s="7"/>
      <c r="N73" s="7"/>
      <c r="O73" s="7"/>
      <c r="P73" s="7"/>
      <c r="Q73" s="7"/>
      <c r="R73" s="7"/>
      <c r="S73" s="7"/>
      <c r="T73" s="7"/>
      <c r="U73" s="7"/>
      <c r="V73" s="7"/>
      <c r="W73" s="7"/>
    </row>
    <row r="74" spans="1:23" x14ac:dyDescent="0.25">
      <c r="A74" s="7"/>
      <c r="B74" s="7"/>
      <c r="C74" s="7"/>
      <c r="D74" s="7"/>
      <c r="E74" s="7"/>
      <c r="F74" s="7"/>
      <c r="G74" s="7"/>
      <c r="H74" s="7"/>
      <c r="I74" s="7"/>
      <c r="J74" s="7"/>
      <c r="K74" s="7"/>
      <c r="L74" s="7"/>
      <c r="M74" s="7"/>
      <c r="N74" s="7"/>
      <c r="O74" s="7"/>
      <c r="P74" s="7"/>
      <c r="Q74" s="7"/>
      <c r="R74" s="7"/>
      <c r="S74" s="7"/>
      <c r="T74" s="7"/>
      <c r="U74" s="7"/>
      <c r="V74" s="7"/>
      <c r="W74" s="7"/>
    </row>
    <row r="75" spans="1:23" x14ac:dyDescent="0.25">
      <c r="A75" s="7"/>
      <c r="B75" s="7"/>
      <c r="C75" s="7"/>
      <c r="D75" s="7"/>
      <c r="E75" s="7"/>
      <c r="F75" s="7"/>
      <c r="G75" s="7"/>
      <c r="H75" s="7"/>
      <c r="I75" s="7"/>
      <c r="J75" s="7"/>
      <c r="K75" s="7"/>
      <c r="L75" s="7"/>
      <c r="M75" s="7"/>
      <c r="N75" s="7"/>
      <c r="O75" s="7"/>
      <c r="P75" s="7"/>
      <c r="Q75" s="7"/>
      <c r="R75" s="7"/>
      <c r="S75" s="7"/>
      <c r="T75" s="7"/>
      <c r="U75" s="7"/>
      <c r="V75" s="7"/>
      <c r="W75" s="7"/>
    </row>
    <row r="76" spans="1:23" x14ac:dyDescent="0.25">
      <c r="A76" s="7"/>
      <c r="B76" s="7"/>
      <c r="C76" s="7"/>
      <c r="D76" s="7"/>
      <c r="E76" s="7"/>
      <c r="F76" s="7"/>
      <c r="G76" s="7"/>
      <c r="H76" s="7"/>
      <c r="I76" s="7"/>
      <c r="J76" s="7"/>
      <c r="K76" s="7"/>
      <c r="L76" s="7"/>
      <c r="M76" s="7"/>
      <c r="N76" s="7"/>
      <c r="O76" s="7"/>
      <c r="P76" s="7"/>
      <c r="Q76" s="7"/>
      <c r="R76" s="7"/>
      <c r="S76" s="7"/>
      <c r="T76" s="7"/>
      <c r="U76" s="7"/>
      <c r="V76" s="7"/>
      <c r="W76" s="7"/>
    </row>
    <row r="77" spans="1:23" x14ac:dyDescent="0.25">
      <c r="A77" s="7"/>
      <c r="B77" s="7"/>
      <c r="C77" s="7"/>
      <c r="D77" s="7"/>
      <c r="E77" s="7"/>
      <c r="F77" s="7"/>
      <c r="G77" s="7"/>
      <c r="H77" s="7"/>
      <c r="I77" s="7"/>
      <c r="J77" s="7"/>
      <c r="K77" s="7"/>
      <c r="L77" s="7"/>
      <c r="M77" s="7"/>
      <c r="N77" s="7"/>
      <c r="O77" s="7"/>
      <c r="P77" s="7"/>
      <c r="Q77" s="7"/>
      <c r="R77" s="7"/>
      <c r="S77" s="7"/>
      <c r="T77" s="7"/>
      <c r="U77" s="7"/>
      <c r="V77" s="7"/>
      <c r="W77" s="7"/>
    </row>
    <row r="78" spans="1:23" x14ac:dyDescent="0.25">
      <c r="A78" s="7"/>
      <c r="B78" s="7"/>
      <c r="C78" s="7"/>
      <c r="D78" s="7"/>
      <c r="E78" s="7"/>
      <c r="F78" s="7"/>
      <c r="G78" s="7"/>
      <c r="H78" s="7"/>
      <c r="I78" s="7"/>
      <c r="J78" s="7"/>
      <c r="K78" s="7"/>
      <c r="L78" s="7"/>
      <c r="M78" s="7"/>
      <c r="N78" s="7"/>
      <c r="O78" s="7"/>
      <c r="P78" s="7"/>
      <c r="Q78" s="7"/>
      <c r="R78" s="7"/>
      <c r="S78" s="7"/>
      <c r="T78" s="7"/>
      <c r="U78" s="7"/>
      <c r="V78" s="7"/>
      <c r="W78" s="7"/>
    </row>
    <row r="79" spans="1:23" x14ac:dyDescent="0.25">
      <c r="A79" s="7"/>
      <c r="B79" s="7"/>
      <c r="C79" s="7"/>
      <c r="D79" s="7"/>
      <c r="E79" s="7"/>
      <c r="F79" s="7"/>
      <c r="G79" s="7"/>
      <c r="H79" s="7"/>
      <c r="I79" s="7"/>
      <c r="J79" s="7"/>
      <c r="K79" s="7"/>
      <c r="L79" s="7"/>
      <c r="M79" s="7"/>
      <c r="N79" s="7"/>
      <c r="O79" s="7"/>
      <c r="P79" s="7"/>
      <c r="Q79" s="7"/>
      <c r="R79" s="7"/>
      <c r="S79" s="7"/>
      <c r="T79" s="7"/>
      <c r="U79" s="7"/>
      <c r="V79" s="7"/>
      <c r="W79" s="7"/>
    </row>
    <row r="80" spans="1:23" x14ac:dyDescent="0.25">
      <c r="A80" s="7"/>
      <c r="B80" s="7"/>
      <c r="C80" s="7"/>
      <c r="D80" s="7"/>
      <c r="E80" s="7"/>
      <c r="F80" s="7"/>
      <c r="G80" s="7"/>
      <c r="H80" s="7"/>
      <c r="I80" s="7"/>
      <c r="J80" s="7"/>
      <c r="K80" s="7"/>
      <c r="L80" s="7"/>
      <c r="M80" s="7"/>
      <c r="N80" s="7"/>
      <c r="O80" s="7"/>
      <c r="P80" s="7"/>
      <c r="Q80" s="7"/>
      <c r="R80" s="7"/>
      <c r="S80" s="7"/>
      <c r="T80" s="7"/>
      <c r="U80" s="7"/>
      <c r="V80" s="7"/>
      <c r="W80" s="7"/>
    </row>
    <row r="81" spans="1:23" x14ac:dyDescent="0.25">
      <c r="A81" s="7"/>
      <c r="B81" s="7"/>
      <c r="C81" s="7"/>
      <c r="D81" s="7"/>
      <c r="E81" s="7"/>
      <c r="F81" s="7"/>
      <c r="G81" s="7"/>
      <c r="H81" s="7"/>
      <c r="I81" s="7"/>
      <c r="J81" s="7"/>
      <c r="K81" s="7"/>
      <c r="L81" s="7"/>
      <c r="M81" s="7"/>
      <c r="N81" s="7"/>
      <c r="O81" s="7"/>
      <c r="P81" s="7"/>
      <c r="Q81" s="7"/>
      <c r="R81" s="7"/>
      <c r="S81" s="7"/>
      <c r="T81" s="7"/>
      <c r="U81" s="7"/>
      <c r="V81" s="7"/>
      <c r="W81" s="7"/>
    </row>
    <row r="82" spans="1:23" x14ac:dyDescent="0.25">
      <c r="A82" s="7"/>
      <c r="B82" s="7"/>
      <c r="C82" s="7"/>
      <c r="D82" s="7"/>
      <c r="E82" s="7"/>
      <c r="F82" s="7"/>
      <c r="G82" s="7"/>
      <c r="H82" s="7"/>
      <c r="I82" s="7"/>
      <c r="J82" s="7"/>
      <c r="K82" s="7"/>
      <c r="L82" s="7"/>
      <c r="M82" s="7"/>
      <c r="N82" s="7"/>
      <c r="O82" s="7"/>
      <c r="P82" s="7"/>
      <c r="Q82" s="7"/>
      <c r="R82" s="7"/>
      <c r="S82" s="7"/>
      <c r="T82" s="7"/>
      <c r="U82" s="7"/>
      <c r="V82" s="7"/>
      <c r="W82" s="7"/>
    </row>
    <row r="83" spans="1:23" x14ac:dyDescent="0.25">
      <c r="A83" s="7"/>
      <c r="B83" s="7"/>
      <c r="C83" s="7"/>
      <c r="D83" s="7"/>
      <c r="E83" s="7"/>
      <c r="F83" s="7"/>
      <c r="G83" s="7"/>
      <c r="H83" s="7"/>
      <c r="I83" s="7"/>
      <c r="J83" s="7"/>
      <c r="K83" s="7"/>
      <c r="L83" s="7"/>
      <c r="M83" s="7"/>
      <c r="N83" s="7"/>
      <c r="O83" s="7"/>
      <c r="P83" s="7"/>
      <c r="Q83" s="7"/>
      <c r="R83" s="7"/>
      <c r="S83" s="7"/>
      <c r="T83" s="7"/>
      <c r="U83" s="7"/>
      <c r="V83" s="7"/>
      <c r="W83" s="7"/>
    </row>
    <row r="84" spans="1:23" x14ac:dyDescent="0.25">
      <c r="A84" s="7"/>
      <c r="B84" s="7"/>
      <c r="C84" s="7"/>
      <c r="D84" s="7"/>
      <c r="E84" s="7"/>
      <c r="F84" s="7"/>
      <c r="G84" s="7"/>
      <c r="H84" s="7"/>
      <c r="I84" s="7"/>
      <c r="J84" s="7"/>
      <c r="K84" s="7"/>
      <c r="L84" s="7"/>
      <c r="M84" s="7"/>
      <c r="N84" s="7"/>
      <c r="O84" s="7"/>
      <c r="P84" s="7"/>
      <c r="Q84" s="7"/>
      <c r="R84" s="7"/>
      <c r="S84" s="7"/>
      <c r="T84" s="7"/>
      <c r="U84" s="7"/>
      <c r="V84" s="7"/>
      <c r="W84" s="7"/>
    </row>
    <row r="85" spans="1:23" x14ac:dyDescent="0.25">
      <c r="A85" s="7"/>
      <c r="B85" s="7"/>
      <c r="C85" s="7"/>
      <c r="D85" s="7"/>
      <c r="E85" s="7"/>
      <c r="F85" s="7"/>
      <c r="G85" s="7"/>
      <c r="H85" s="7"/>
      <c r="I85" s="7"/>
      <c r="J85" s="7"/>
      <c r="K85" s="7"/>
      <c r="L85" s="7"/>
      <c r="M85" s="7"/>
      <c r="N85" s="7"/>
      <c r="O85" s="7"/>
      <c r="P85" s="7"/>
      <c r="Q85" s="7"/>
      <c r="R85" s="7"/>
      <c r="S85" s="7"/>
      <c r="T85" s="7"/>
      <c r="U85" s="7"/>
      <c r="V85" s="7"/>
      <c r="W85" s="7"/>
    </row>
    <row r="86" spans="1:23" x14ac:dyDescent="0.25">
      <c r="A86" s="7"/>
      <c r="B86" s="7"/>
      <c r="C86" s="7"/>
      <c r="D86" s="7"/>
      <c r="E86" s="7"/>
      <c r="F86" s="7"/>
      <c r="G86" s="7"/>
      <c r="H86" s="7"/>
      <c r="I86" s="7"/>
      <c r="J86" s="7"/>
      <c r="K86" s="7"/>
      <c r="L86" s="7"/>
      <c r="M86" s="7"/>
      <c r="N86" s="7"/>
      <c r="O86" s="7"/>
      <c r="P86" s="7"/>
      <c r="Q86" s="7"/>
      <c r="R86" s="7"/>
      <c r="S86" s="7"/>
      <c r="T86" s="7"/>
      <c r="U86" s="7"/>
      <c r="V86" s="7"/>
      <c r="W86" s="7"/>
    </row>
    <row r="87" spans="1:23" x14ac:dyDescent="0.25">
      <c r="A87" s="7"/>
      <c r="B87" s="7"/>
      <c r="C87" s="7"/>
      <c r="D87" s="7"/>
      <c r="E87" s="7"/>
      <c r="F87" s="7"/>
      <c r="G87" s="7"/>
      <c r="H87" s="7"/>
      <c r="I87" s="7"/>
      <c r="J87" s="7"/>
      <c r="K87" s="7"/>
      <c r="L87" s="7"/>
      <c r="M87" s="7"/>
      <c r="N87" s="7"/>
      <c r="O87" s="7"/>
      <c r="P87" s="7"/>
      <c r="Q87" s="7"/>
      <c r="R87" s="7"/>
      <c r="S87" s="7"/>
      <c r="T87" s="7"/>
      <c r="U87" s="7"/>
      <c r="V87" s="7"/>
      <c r="W87" s="7"/>
    </row>
    <row r="88" spans="1:23" x14ac:dyDescent="0.25">
      <c r="A88" s="7"/>
      <c r="B88" s="7"/>
      <c r="C88" s="7"/>
      <c r="D88" s="7"/>
      <c r="E88" s="7"/>
      <c r="F88" s="7"/>
      <c r="G88" s="7"/>
      <c r="H88" s="7"/>
      <c r="I88" s="7"/>
      <c r="J88" s="7"/>
      <c r="K88" s="7"/>
      <c r="L88" s="7"/>
      <c r="M88" s="7"/>
      <c r="N88" s="7"/>
      <c r="O88" s="7"/>
      <c r="P88" s="7"/>
      <c r="Q88" s="7"/>
      <c r="R88" s="7"/>
      <c r="S88" s="7"/>
      <c r="T88" s="7"/>
      <c r="U88" s="7"/>
      <c r="V88" s="7"/>
      <c r="W88" s="7"/>
    </row>
    <row r="89" spans="1:23" x14ac:dyDescent="0.25">
      <c r="A89" s="7"/>
      <c r="B89" s="7"/>
      <c r="C89" s="7"/>
      <c r="D89" s="7"/>
      <c r="E89" s="7"/>
      <c r="F89" s="7"/>
      <c r="G89" s="7"/>
      <c r="H89" s="7"/>
      <c r="I89" s="7"/>
      <c r="J89" s="7"/>
      <c r="K89" s="7"/>
      <c r="L89" s="7"/>
      <c r="M89" s="7"/>
      <c r="N89" s="7"/>
      <c r="O89" s="7"/>
      <c r="P89" s="7"/>
      <c r="Q89" s="7"/>
      <c r="R89" s="7"/>
      <c r="S89" s="7"/>
      <c r="T89" s="7"/>
      <c r="U89" s="7"/>
      <c r="V89" s="7"/>
      <c r="W89" s="7"/>
    </row>
    <row r="90" spans="1:23" x14ac:dyDescent="0.25">
      <c r="A90" s="7"/>
      <c r="B90" s="7"/>
      <c r="C90" s="7"/>
      <c r="D90" s="7"/>
      <c r="E90" s="7"/>
      <c r="F90" s="7"/>
      <c r="G90" s="7"/>
      <c r="H90" s="7"/>
      <c r="I90" s="7"/>
      <c r="J90" s="7"/>
      <c r="K90" s="7"/>
      <c r="L90" s="7"/>
      <c r="M90" s="7"/>
      <c r="N90" s="7"/>
      <c r="O90" s="7"/>
      <c r="P90" s="7"/>
      <c r="Q90" s="7"/>
      <c r="R90" s="7"/>
      <c r="S90" s="7"/>
      <c r="T90" s="7"/>
      <c r="U90" s="7"/>
      <c r="V90" s="7"/>
      <c r="W90" s="7"/>
    </row>
    <row r="91" spans="1:23" x14ac:dyDescent="0.25">
      <c r="A91" s="7"/>
      <c r="B91" s="7"/>
      <c r="C91" s="7"/>
      <c r="D91" s="7"/>
      <c r="E91" s="7"/>
      <c r="F91" s="7"/>
      <c r="G91" s="7"/>
      <c r="H91" s="7"/>
      <c r="I91" s="7"/>
      <c r="J91" s="7"/>
      <c r="K91" s="7"/>
      <c r="L91" s="7"/>
      <c r="M91" s="7"/>
      <c r="N91" s="7"/>
      <c r="O91" s="7"/>
      <c r="P91" s="7"/>
      <c r="Q91" s="7"/>
      <c r="R91" s="7"/>
      <c r="S91" s="7"/>
      <c r="T91" s="7"/>
      <c r="U91" s="7"/>
      <c r="V91" s="7"/>
      <c r="W91" s="7"/>
    </row>
    <row r="92" spans="1:23" x14ac:dyDescent="0.25">
      <c r="A92" s="7"/>
      <c r="B92" s="7"/>
      <c r="C92" s="7"/>
      <c r="D92" s="7"/>
      <c r="E92" s="7"/>
      <c r="F92" s="7"/>
      <c r="G92" s="7"/>
      <c r="H92" s="7"/>
      <c r="I92" s="7"/>
      <c r="J92" s="7"/>
      <c r="K92" s="7"/>
      <c r="L92" s="7"/>
      <c r="M92" s="7"/>
      <c r="N92" s="7"/>
      <c r="O92" s="7"/>
      <c r="P92" s="7"/>
      <c r="Q92" s="7"/>
      <c r="R92" s="7"/>
      <c r="S92" s="7"/>
      <c r="T92" s="7"/>
      <c r="U92" s="7"/>
      <c r="V92" s="7"/>
      <c r="W92" s="7"/>
    </row>
    <row r="93" spans="1:23" x14ac:dyDescent="0.25">
      <c r="A93" s="7"/>
      <c r="B93" s="7"/>
      <c r="C93" s="7"/>
      <c r="D93" s="7"/>
      <c r="E93" s="7"/>
      <c r="F93" s="7"/>
      <c r="G93" s="7"/>
      <c r="H93" s="7"/>
      <c r="I93" s="7"/>
      <c r="J93" s="7"/>
      <c r="K93" s="7"/>
      <c r="L93" s="7"/>
      <c r="M93" s="7"/>
      <c r="N93" s="7"/>
      <c r="O93" s="7"/>
      <c r="P93" s="7"/>
      <c r="Q93" s="7"/>
      <c r="R93" s="7"/>
      <c r="S93" s="7"/>
      <c r="T93" s="7"/>
      <c r="U93" s="7"/>
      <c r="V93" s="7"/>
      <c r="W93" s="7"/>
    </row>
    <row r="94" spans="1:23" x14ac:dyDescent="0.25">
      <c r="A94" s="7"/>
      <c r="B94" s="7"/>
      <c r="C94" s="7"/>
      <c r="D94" s="7"/>
      <c r="E94" s="7"/>
      <c r="F94" s="7"/>
      <c r="G94" s="7"/>
      <c r="H94" s="7"/>
      <c r="I94" s="7"/>
      <c r="J94" s="7"/>
      <c r="K94" s="7"/>
      <c r="L94" s="7"/>
      <c r="M94" s="7"/>
      <c r="N94" s="7"/>
      <c r="O94" s="7"/>
      <c r="P94" s="7"/>
      <c r="Q94" s="7"/>
      <c r="R94" s="7"/>
      <c r="S94" s="7"/>
      <c r="T94" s="7"/>
      <c r="U94" s="7"/>
      <c r="V94" s="7"/>
      <c r="W94" s="7"/>
    </row>
    <row r="95" spans="1:23" x14ac:dyDescent="0.25">
      <c r="A95" s="7"/>
      <c r="B95" s="7"/>
      <c r="C95" s="7"/>
      <c r="D95" s="7"/>
      <c r="E95" s="7"/>
      <c r="F95" s="7"/>
      <c r="G95" s="7"/>
      <c r="H95" s="7"/>
      <c r="I95" s="7"/>
      <c r="J95" s="7"/>
      <c r="K95" s="7"/>
      <c r="L95" s="7"/>
      <c r="M95" s="7"/>
      <c r="N95" s="7"/>
      <c r="O95" s="7"/>
      <c r="P95" s="7"/>
      <c r="Q95" s="7"/>
      <c r="R95" s="7"/>
      <c r="S95" s="7"/>
      <c r="T95" s="7"/>
      <c r="U95" s="7"/>
      <c r="V95" s="7"/>
      <c r="W95" s="7"/>
    </row>
    <row r="96" spans="1:23" x14ac:dyDescent="0.25">
      <c r="A96" s="7"/>
      <c r="B96" s="7"/>
      <c r="C96" s="7"/>
      <c r="D96" s="7"/>
      <c r="E96" s="7"/>
      <c r="F96" s="7"/>
      <c r="G96" s="7"/>
      <c r="H96" s="7"/>
      <c r="I96" s="7"/>
      <c r="J96" s="7"/>
      <c r="K96" s="7"/>
      <c r="L96" s="7"/>
      <c r="M96" s="7"/>
      <c r="N96" s="7"/>
      <c r="O96" s="7"/>
      <c r="P96" s="7"/>
      <c r="Q96" s="7"/>
      <c r="R96" s="7"/>
      <c r="S96" s="7"/>
      <c r="T96" s="7"/>
      <c r="U96" s="7"/>
      <c r="V96" s="7"/>
      <c r="W96" s="7"/>
    </row>
    <row r="97" spans="1:23" x14ac:dyDescent="0.25">
      <c r="A97" s="7"/>
      <c r="B97" s="7"/>
      <c r="C97" s="7"/>
      <c r="D97" s="7"/>
      <c r="E97" s="7"/>
      <c r="F97" s="7"/>
      <c r="G97" s="7"/>
      <c r="H97" s="7"/>
      <c r="I97" s="7"/>
      <c r="J97" s="7"/>
      <c r="K97" s="7"/>
      <c r="L97" s="7"/>
      <c r="M97" s="7"/>
      <c r="N97" s="7"/>
      <c r="O97" s="7"/>
      <c r="P97" s="7"/>
      <c r="Q97" s="7"/>
      <c r="R97" s="7"/>
      <c r="S97" s="7"/>
      <c r="T97" s="7"/>
      <c r="U97" s="7"/>
      <c r="V97" s="7"/>
      <c r="W97" s="7"/>
    </row>
    <row r="98" spans="1:23" x14ac:dyDescent="0.25">
      <c r="A98" s="7"/>
      <c r="B98" s="7"/>
      <c r="C98" s="7"/>
      <c r="D98" s="7"/>
      <c r="E98" s="7"/>
      <c r="F98" s="7"/>
      <c r="G98" s="7"/>
      <c r="H98" s="7"/>
      <c r="I98" s="7"/>
      <c r="J98" s="7"/>
      <c r="K98" s="7"/>
      <c r="L98" s="7"/>
      <c r="M98" s="7"/>
      <c r="N98" s="7"/>
      <c r="O98" s="7"/>
      <c r="P98" s="7"/>
      <c r="Q98" s="7"/>
      <c r="R98" s="7"/>
      <c r="S98" s="7"/>
      <c r="T98" s="7"/>
      <c r="U98" s="7"/>
      <c r="V98" s="7"/>
      <c r="W98" s="7"/>
    </row>
    <row r="99" spans="1:23" x14ac:dyDescent="0.25">
      <c r="A99" s="7"/>
      <c r="B99" s="7"/>
      <c r="C99" s="7"/>
      <c r="D99" s="7"/>
      <c r="E99" s="7"/>
      <c r="F99" s="7"/>
      <c r="G99" s="7"/>
      <c r="H99" s="7"/>
      <c r="I99" s="7"/>
      <c r="J99" s="7"/>
      <c r="K99" s="7"/>
      <c r="L99" s="7"/>
      <c r="M99" s="7"/>
      <c r="N99" s="7"/>
      <c r="O99" s="7"/>
      <c r="P99" s="7"/>
      <c r="Q99" s="7"/>
      <c r="R99" s="7"/>
      <c r="S99" s="7"/>
      <c r="T99" s="7"/>
      <c r="U99" s="7"/>
      <c r="V99" s="7"/>
      <c r="W99" s="7"/>
    </row>
    <row r="100" spans="1:23" x14ac:dyDescent="0.25">
      <c r="A100" s="7"/>
      <c r="B100" s="7"/>
      <c r="C100" s="7"/>
      <c r="D100" s="7"/>
      <c r="E100" s="7"/>
      <c r="F100" s="7"/>
      <c r="G100" s="7"/>
      <c r="H100" s="7"/>
      <c r="I100" s="7"/>
      <c r="J100" s="7"/>
      <c r="K100" s="7"/>
      <c r="L100" s="7"/>
      <c r="M100" s="7"/>
      <c r="N100" s="7"/>
      <c r="O100" s="7"/>
      <c r="P100" s="7"/>
      <c r="Q100" s="7"/>
      <c r="R100" s="7"/>
      <c r="S100" s="7"/>
      <c r="T100" s="7"/>
      <c r="U100" s="7"/>
      <c r="V100" s="7"/>
      <c r="W100" s="7"/>
    </row>
    <row r="101" spans="1:23" x14ac:dyDescent="0.25">
      <c r="A101" s="7"/>
      <c r="B101" s="7"/>
      <c r="C101" s="7"/>
      <c r="D101" s="7"/>
      <c r="E101" s="7"/>
      <c r="F101" s="7"/>
      <c r="G101" s="7"/>
      <c r="H101" s="7"/>
      <c r="I101" s="7"/>
      <c r="J101" s="7"/>
      <c r="K101" s="7"/>
      <c r="L101" s="7"/>
      <c r="M101" s="7"/>
      <c r="N101" s="7"/>
      <c r="O101" s="7"/>
      <c r="P101" s="7"/>
      <c r="Q101" s="7"/>
      <c r="R101" s="7"/>
      <c r="S101" s="7"/>
      <c r="T101" s="7"/>
      <c r="U101" s="7"/>
      <c r="V101" s="7"/>
      <c r="W101" s="7"/>
    </row>
    <row r="102" spans="1:23" x14ac:dyDescent="0.25">
      <c r="A102" s="7"/>
      <c r="B102" s="7"/>
      <c r="C102" s="7"/>
      <c r="D102" s="7"/>
      <c r="E102" s="7"/>
      <c r="F102" s="7"/>
      <c r="G102" s="7"/>
      <c r="H102" s="7"/>
      <c r="I102" s="7"/>
      <c r="J102" s="7"/>
      <c r="K102" s="7"/>
      <c r="L102" s="7"/>
      <c r="M102" s="7"/>
      <c r="N102" s="7"/>
      <c r="O102" s="7"/>
      <c r="P102" s="7"/>
      <c r="Q102" s="7"/>
      <c r="R102" s="7"/>
      <c r="S102" s="7"/>
      <c r="T102" s="7"/>
      <c r="U102" s="7"/>
      <c r="V102" s="7"/>
      <c r="W102" s="7"/>
    </row>
    <row r="103" spans="1:23" x14ac:dyDescent="0.25">
      <c r="A103" s="7"/>
      <c r="B103" s="7"/>
      <c r="C103" s="7"/>
      <c r="D103" s="7"/>
      <c r="E103" s="7"/>
      <c r="F103" s="7"/>
      <c r="G103" s="7"/>
      <c r="H103" s="7"/>
      <c r="I103" s="7"/>
      <c r="J103" s="7"/>
      <c r="K103" s="7"/>
      <c r="L103" s="7"/>
      <c r="M103" s="7"/>
      <c r="N103" s="7"/>
      <c r="O103" s="7"/>
      <c r="P103" s="7"/>
      <c r="Q103" s="7"/>
      <c r="R103" s="7"/>
      <c r="S103" s="7"/>
      <c r="T103" s="7"/>
      <c r="U103" s="7"/>
      <c r="V103" s="7"/>
      <c r="W103" s="7"/>
    </row>
    <row r="104" spans="1:23" x14ac:dyDescent="0.25">
      <c r="A104" s="7"/>
      <c r="B104" s="7"/>
      <c r="C104" s="7"/>
      <c r="D104" s="7"/>
      <c r="E104" s="7"/>
      <c r="F104" s="7"/>
      <c r="G104" s="7"/>
      <c r="H104" s="7"/>
      <c r="I104" s="7"/>
      <c r="J104" s="7"/>
      <c r="K104" s="7"/>
      <c r="L104" s="7"/>
      <c r="M104" s="7"/>
      <c r="N104" s="7"/>
      <c r="O104" s="7"/>
      <c r="P104" s="7"/>
      <c r="Q104" s="7"/>
      <c r="R104" s="7"/>
      <c r="S104" s="7"/>
      <c r="T104" s="7"/>
      <c r="U104" s="7"/>
      <c r="V104" s="7"/>
      <c r="W104" s="7"/>
    </row>
    <row r="105" spans="1:23" x14ac:dyDescent="0.25">
      <c r="A105" s="7"/>
      <c r="B105" s="7"/>
      <c r="C105" s="7"/>
      <c r="D105" s="7"/>
      <c r="E105" s="7"/>
      <c r="F105" s="7"/>
      <c r="G105" s="7"/>
      <c r="H105" s="7"/>
      <c r="I105" s="7"/>
      <c r="J105" s="7"/>
      <c r="K105" s="7"/>
      <c r="L105" s="7"/>
      <c r="M105" s="7"/>
      <c r="N105" s="7"/>
      <c r="O105" s="7"/>
      <c r="P105" s="7"/>
      <c r="Q105" s="7"/>
      <c r="R105" s="7"/>
      <c r="S105" s="7"/>
      <c r="T105" s="7"/>
      <c r="U105" s="7"/>
      <c r="V105" s="7"/>
      <c r="W105" s="7"/>
    </row>
    <row r="106" spans="1:23" x14ac:dyDescent="0.25">
      <c r="A106" s="7"/>
      <c r="B106" s="7"/>
      <c r="C106" s="7"/>
      <c r="D106" s="7"/>
      <c r="E106" s="7"/>
      <c r="F106" s="7"/>
      <c r="G106" s="7"/>
      <c r="H106" s="7"/>
      <c r="I106" s="7"/>
      <c r="J106" s="7"/>
      <c r="K106" s="7"/>
      <c r="L106" s="7"/>
      <c r="M106" s="7"/>
      <c r="N106" s="7"/>
      <c r="O106" s="7"/>
      <c r="P106" s="7"/>
      <c r="Q106" s="7"/>
      <c r="R106" s="7"/>
      <c r="S106" s="7"/>
      <c r="T106" s="7"/>
      <c r="U106" s="7"/>
      <c r="V106" s="7"/>
      <c r="W106" s="7"/>
    </row>
    <row r="107" spans="1:23" x14ac:dyDescent="0.25">
      <c r="M107" s="9"/>
      <c r="N107" s="9"/>
      <c r="O107" s="9"/>
      <c r="P107" s="9"/>
      <c r="Q107" s="9"/>
      <c r="R107" s="9"/>
      <c r="S107" s="9"/>
      <c r="T107" s="9"/>
      <c r="U107" s="9"/>
      <c r="V107" s="9"/>
      <c r="W107" s="9"/>
    </row>
    <row r="108" spans="1:23" x14ac:dyDescent="0.25">
      <c r="M108" s="9"/>
      <c r="N108" s="9"/>
      <c r="O108" s="9"/>
      <c r="P108" s="9"/>
      <c r="Q108" s="9"/>
      <c r="R108" s="9"/>
      <c r="S108" s="9"/>
      <c r="T108" s="9"/>
      <c r="U108" s="9"/>
      <c r="V108" s="9"/>
      <c r="W108" s="9"/>
    </row>
    <row r="109" spans="1:23" x14ac:dyDescent="0.25">
      <c r="M109" s="9"/>
      <c r="N109" s="9"/>
      <c r="O109" s="9"/>
      <c r="P109" s="9"/>
      <c r="Q109" s="9"/>
      <c r="R109" s="9"/>
      <c r="S109" s="9"/>
      <c r="T109" s="9"/>
      <c r="U109" s="9"/>
      <c r="V109" s="9"/>
      <c r="W109" s="9"/>
    </row>
    <row r="110" spans="1:23" x14ac:dyDescent="0.25">
      <c r="M110" s="9"/>
      <c r="N110" s="9"/>
      <c r="O110" s="9"/>
      <c r="P110" s="9"/>
      <c r="Q110" s="9"/>
      <c r="R110" s="9"/>
      <c r="S110" s="9"/>
      <c r="T110" s="9"/>
      <c r="U110" s="9"/>
      <c r="V110" s="9"/>
      <c r="W110" s="9"/>
    </row>
    <row r="111" spans="1:23" x14ac:dyDescent="0.25">
      <c r="M111" s="9"/>
      <c r="N111" s="9"/>
      <c r="O111" s="9"/>
      <c r="P111" s="9"/>
      <c r="Q111" s="9"/>
      <c r="R111" s="9"/>
      <c r="S111" s="9"/>
      <c r="T111" s="9"/>
      <c r="U111" s="9"/>
      <c r="V111" s="9"/>
      <c r="W111" s="9"/>
    </row>
    <row r="112" spans="1:23" x14ac:dyDescent="0.25">
      <c r="M112" s="9"/>
      <c r="N112" s="9"/>
      <c r="O112" s="9"/>
      <c r="P112" s="9"/>
      <c r="Q112" s="9"/>
      <c r="R112" s="9"/>
      <c r="S112" s="9"/>
      <c r="T112" s="9"/>
      <c r="U112" s="9"/>
      <c r="V112" s="9"/>
      <c r="W112" s="9"/>
    </row>
    <row r="113" spans="13:23" x14ac:dyDescent="0.25">
      <c r="M113" s="9"/>
      <c r="N113" s="9"/>
      <c r="O113" s="9"/>
      <c r="P113" s="9"/>
      <c r="Q113" s="9"/>
      <c r="R113" s="9"/>
      <c r="S113" s="9"/>
      <c r="T113" s="9"/>
      <c r="U113" s="9"/>
      <c r="V113" s="9"/>
      <c r="W113" s="9"/>
    </row>
    <row r="114" spans="13:23" x14ac:dyDescent="0.25">
      <c r="M114" s="9"/>
      <c r="N114" s="9"/>
      <c r="O114" s="9"/>
      <c r="P114" s="9"/>
      <c r="Q114" s="9"/>
      <c r="R114" s="9"/>
      <c r="S114" s="9"/>
      <c r="T114" s="9"/>
      <c r="U114" s="9"/>
      <c r="V114" s="9"/>
      <c r="W114" s="9"/>
    </row>
    <row r="115" spans="13:23" x14ac:dyDescent="0.25">
      <c r="M115" s="9"/>
      <c r="N115" s="9"/>
      <c r="O115" s="9"/>
      <c r="P115" s="9"/>
      <c r="Q115" s="9"/>
      <c r="R115" s="9"/>
      <c r="S115" s="9"/>
      <c r="T115" s="9"/>
      <c r="U115" s="9"/>
      <c r="V115" s="9"/>
      <c r="W115" s="9"/>
    </row>
    <row r="116" spans="13:23" x14ac:dyDescent="0.25">
      <c r="M116" s="9"/>
      <c r="N116" s="9"/>
      <c r="O116" s="9"/>
      <c r="P116" s="9"/>
      <c r="Q116" s="9"/>
      <c r="R116" s="9"/>
      <c r="S116" s="9"/>
      <c r="T116" s="9"/>
      <c r="U116" s="9"/>
      <c r="V116" s="9"/>
      <c r="W116" s="9"/>
    </row>
    <row r="117" spans="13:23" x14ac:dyDescent="0.25">
      <c r="M117" s="9"/>
      <c r="N117" s="9"/>
      <c r="O117" s="9"/>
      <c r="P117" s="9"/>
      <c r="Q117" s="9"/>
      <c r="R117" s="9"/>
      <c r="S117" s="9"/>
      <c r="T117" s="9"/>
      <c r="U117" s="9"/>
      <c r="V117" s="9"/>
      <c r="W117" s="9"/>
    </row>
    <row r="118" spans="13:23" x14ac:dyDescent="0.25">
      <c r="M118" s="9"/>
      <c r="N118" s="9"/>
      <c r="O118" s="9"/>
      <c r="P118" s="9"/>
      <c r="Q118" s="9"/>
      <c r="R118" s="9"/>
      <c r="S118" s="9"/>
      <c r="T118" s="9"/>
      <c r="U118" s="9"/>
      <c r="V118" s="9"/>
      <c r="W118" s="9"/>
    </row>
    <row r="119" spans="13:23" x14ac:dyDescent="0.25">
      <c r="M119" s="9"/>
      <c r="N119" s="9"/>
      <c r="O119" s="9"/>
      <c r="P119" s="9"/>
      <c r="Q119" s="9"/>
      <c r="R119" s="9"/>
      <c r="S119" s="9"/>
      <c r="T119" s="9"/>
      <c r="U119" s="9"/>
      <c r="V119" s="9"/>
      <c r="W119" s="9"/>
    </row>
    <row r="120" spans="13:23" x14ac:dyDescent="0.25">
      <c r="M120" s="9"/>
      <c r="N120" s="9"/>
      <c r="O120" s="9"/>
      <c r="P120" s="9"/>
      <c r="Q120" s="9"/>
      <c r="R120" s="9"/>
      <c r="S120" s="9"/>
      <c r="T120" s="9"/>
      <c r="U120" s="9"/>
      <c r="V120" s="9"/>
      <c r="W120" s="9"/>
    </row>
    <row r="121" spans="13:23" x14ac:dyDescent="0.25">
      <c r="M121" s="9"/>
      <c r="N121" s="9"/>
      <c r="O121" s="9"/>
      <c r="P121" s="9"/>
      <c r="Q121" s="9"/>
      <c r="R121" s="9"/>
      <c r="S121" s="9"/>
      <c r="T121" s="9"/>
      <c r="U121" s="9"/>
      <c r="V121" s="9"/>
      <c r="W121" s="9"/>
    </row>
    <row r="122" spans="13:23" x14ac:dyDescent="0.25">
      <c r="M122" s="9"/>
      <c r="N122" s="9"/>
      <c r="O122" s="9"/>
      <c r="P122" s="9"/>
      <c r="Q122" s="9"/>
      <c r="R122" s="9"/>
      <c r="S122" s="9"/>
      <c r="T122" s="9"/>
      <c r="U122" s="9"/>
      <c r="V122" s="9"/>
      <c r="W122" s="9"/>
    </row>
    <row r="123" spans="13:23" x14ac:dyDescent="0.25">
      <c r="M123" s="9"/>
      <c r="N123" s="9"/>
      <c r="O123" s="9"/>
      <c r="P123" s="9"/>
      <c r="Q123" s="9"/>
      <c r="R123" s="9"/>
      <c r="S123" s="9"/>
      <c r="T123" s="9"/>
      <c r="U123" s="9"/>
      <c r="V123" s="9"/>
      <c r="W123" s="9"/>
    </row>
    <row r="124" spans="13:23" x14ac:dyDescent="0.25">
      <c r="M124" s="9"/>
      <c r="N124" s="9"/>
      <c r="O124" s="9"/>
      <c r="P124" s="9"/>
      <c r="Q124" s="9"/>
      <c r="R124" s="9"/>
      <c r="S124" s="9"/>
      <c r="T124" s="9"/>
      <c r="U124" s="9"/>
      <c r="V124" s="9"/>
      <c r="W124" s="9"/>
    </row>
    <row r="125" spans="13:23" x14ac:dyDescent="0.25">
      <c r="M125" s="9"/>
      <c r="N125" s="9"/>
      <c r="O125" s="9"/>
      <c r="P125" s="9"/>
      <c r="Q125" s="9"/>
      <c r="R125" s="9"/>
      <c r="S125" s="9"/>
      <c r="T125" s="9"/>
      <c r="U125" s="9"/>
      <c r="V125" s="9"/>
      <c r="W125" s="9"/>
    </row>
    <row r="126" spans="13:23" x14ac:dyDescent="0.25">
      <c r="M126" s="9"/>
      <c r="N126" s="9"/>
      <c r="O126" s="9"/>
      <c r="P126" s="9"/>
      <c r="Q126" s="9"/>
      <c r="R126" s="9"/>
      <c r="S126" s="9"/>
      <c r="T126" s="9"/>
      <c r="U126" s="9"/>
      <c r="V126" s="9"/>
      <c r="W126" s="9"/>
    </row>
    <row r="127" spans="13:23" x14ac:dyDescent="0.25">
      <c r="M127" s="9"/>
      <c r="N127" s="9"/>
      <c r="O127" s="9"/>
      <c r="P127" s="9"/>
      <c r="Q127" s="9"/>
      <c r="R127" s="9"/>
      <c r="S127" s="9"/>
      <c r="T127" s="9"/>
      <c r="U127" s="9"/>
      <c r="V127" s="9"/>
      <c r="W127" s="9"/>
    </row>
    <row r="128" spans="13:23" x14ac:dyDescent="0.25">
      <c r="M128" s="9"/>
      <c r="N128" s="9"/>
      <c r="O128" s="9"/>
      <c r="P128" s="9"/>
      <c r="Q128" s="9"/>
      <c r="R128" s="9"/>
      <c r="S128" s="9"/>
      <c r="T128" s="9"/>
      <c r="U128" s="9"/>
      <c r="V128" s="9"/>
      <c r="W128" s="9"/>
    </row>
    <row r="129" spans="13:23" x14ac:dyDescent="0.25">
      <c r="M129" s="9"/>
      <c r="N129" s="9"/>
      <c r="O129" s="9"/>
      <c r="P129" s="9"/>
      <c r="Q129" s="9"/>
      <c r="R129" s="9"/>
      <c r="S129" s="9"/>
      <c r="T129" s="9"/>
      <c r="U129" s="9"/>
      <c r="V129" s="9"/>
      <c r="W129" s="9"/>
    </row>
    <row r="130" spans="13:23" x14ac:dyDescent="0.25">
      <c r="M130" s="9"/>
      <c r="N130" s="9"/>
      <c r="O130" s="9"/>
      <c r="P130" s="9"/>
      <c r="Q130" s="9"/>
      <c r="R130" s="9"/>
      <c r="S130" s="9"/>
      <c r="T130" s="9"/>
      <c r="U130" s="9"/>
      <c r="V130" s="9"/>
      <c r="W130" s="9"/>
    </row>
    <row r="131" spans="13:23" x14ac:dyDescent="0.25">
      <c r="M131" s="9"/>
      <c r="N131" s="9"/>
      <c r="O131" s="9"/>
      <c r="P131" s="9"/>
      <c r="Q131" s="9"/>
      <c r="R131" s="9"/>
      <c r="S131" s="9"/>
      <c r="T131" s="9"/>
      <c r="U131" s="9"/>
      <c r="V131" s="9"/>
      <c r="W131" s="9"/>
    </row>
    <row r="132" spans="13:23" x14ac:dyDescent="0.25">
      <c r="M132" s="9"/>
      <c r="N132" s="9"/>
      <c r="O132" s="9"/>
      <c r="P132" s="9"/>
      <c r="Q132" s="9"/>
      <c r="R132" s="9"/>
      <c r="S132" s="9"/>
      <c r="T132" s="9"/>
      <c r="U132" s="9"/>
      <c r="V132" s="9"/>
      <c r="W132" s="9"/>
    </row>
    <row r="133" spans="13:23" x14ac:dyDescent="0.25">
      <c r="M133" s="9"/>
      <c r="N133" s="9"/>
      <c r="O133" s="9"/>
      <c r="P133" s="9"/>
      <c r="Q133" s="9"/>
      <c r="R133" s="9"/>
      <c r="S133" s="9"/>
      <c r="T133" s="9"/>
      <c r="U133" s="9"/>
      <c r="V133" s="9"/>
      <c r="W133" s="9"/>
    </row>
    <row r="134" spans="13:23" x14ac:dyDescent="0.25">
      <c r="M134" s="9"/>
      <c r="N134" s="9"/>
      <c r="O134" s="9"/>
      <c r="P134" s="9"/>
      <c r="Q134" s="9"/>
      <c r="R134" s="9"/>
      <c r="S134" s="9"/>
      <c r="T134" s="9"/>
      <c r="U134" s="9"/>
      <c r="V134" s="9"/>
      <c r="W134" s="9"/>
    </row>
    <row r="135" spans="13:23" x14ac:dyDescent="0.25">
      <c r="M135" s="9"/>
      <c r="N135" s="9"/>
      <c r="O135" s="9"/>
      <c r="P135" s="9"/>
      <c r="Q135" s="9"/>
      <c r="R135" s="9"/>
      <c r="S135" s="9"/>
      <c r="T135" s="9"/>
      <c r="U135" s="9"/>
      <c r="V135" s="9"/>
      <c r="W135" s="9"/>
    </row>
    <row r="136" spans="13:23" x14ac:dyDescent="0.25">
      <c r="M136" s="9"/>
      <c r="N136" s="9"/>
      <c r="O136" s="9"/>
      <c r="P136" s="9"/>
      <c r="Q136" s="9"/>
      <c r="R136" s="9"/>
      <c r="S136" s="9"/>
      <c r="T136" s="9"/>
      <c r="U136" s="9"/>
      <c r="V136" s="9"/>
      <c r="W136" s="9"/>
    </row>
    <row r="137" spans="13:23" x14ac:dyDescent="0.25">
      <c r="M137" s="9"/>
      <c r="N137" s="9"/>
      <c r="O137" s="9"/>
      <c r="P137" s="9"/>
      <c r="Q137" s="9"/>
      <c r="R137" s="9"/>
      <c r="S137" s="9"/>
      <c r="T137" s="9"/>
      <c r="U137" s="9"/>
      <c r="V137" s="9"/>
      <c r="W137" s="9"/>
    </row>
    <row r="138" spans="13:23" x14ac:dyDescent="0.25">
      <c r="M138" s="9"/>
      <c r="N138" s="9"/>
      <c r="O138" s="9"/>
      <c r="P138" s="9"/>
      <c r="Q138" s="9"/>
      <c r="R138" s="9"/>
      <c r="S138" s="9"/>
      <c r="T138" s="9"/>
      <c r="U138" s="9"/>
      <c r="V138" s="9"/>
      <c r="W138" s="9"/>
    </row>
    <row r="139" spans="13:23" x14ac:dyDescent="0.25">
      <c r="M139" s="9"/>
      <c r="N139" s="9"/>
      <c r="O139" s="9"/>
      <c r="P139" s="9"/>
      <c r="Q139" s="9"/>
      <c r="R139" s="9"/>
      <c r="S139" s="9"/>
      <c r="T139" s="9"/>
      <c r="U139" s="9"/>
      <c r="V139" s="9"/>
      <c r="W139" s="9"/>
    </row>
    <row r="140" spans="13:23" x14ac:dyDescent="0.25">
      <c r="M140" s="9"/>
      <c r="N140" s="9"/>
      <c r="O140" s="9"/>
      <c r="P140" s="9"/>
      <c r="Q140" s="9"/>
      <c r="R140" s="9"/>
      <c r="S140" s="9"/>
      <c r="T140" s="9"/>
      <c r="U140" s="9"/>
      <c r="V140" s="9"/>
      <c r="W140" s="9"/>
    </row>
    <row r="141" spans="13:23" x14ac:dyDescent="0.25">
      <c r="M141" s="9"/>
      <c r="N141" s="9"/>
      <c r="O141" s="9"/>
      <c r="P141" s="9"/>
      <c r="Q141" s="9"/>
      <c r="R141" s="9"/>
      <c r="S141" s="9"/>
      <c r="T141" s="9"/>
      <c r="U141" s="9"/>
      <c r="V141" s="9"/>
      <c r="W141" s="9"/>
    </row>
    <row r="142" spans="13:23" x14ac:dyDescent="0.25">
      <c r="M142" s="9"/>
      <c r="N142" s="9"/>
      <c r="O142" s="9"/>
      <c r="P142" s="9"/>
      <c r="Q142" s="9"/>
      <c r="R142" s="9"/>
      <c r="S142" s="9"/>
      <c r="T142" s="9"/>
      <c r="U142" s="9"/>
      <c r="V142" s="9"/>
      <c r="W142" s="9"/>
    </row>
    <row r="143" spans="13:23" x14ac:dyDescent="0.25">
      <c r="M143" s="9"/>
      <c r="N143" s="9"/>
      <c r="O143" s="9"/>
      <c r="P143" s="9"/>
      <c r="Q143" s="9"/>
      <c r="R143" s="9"/>
      <c r="S143" s="9"/>
      <c r="T143" s="9"/>
      <c r="U143" s="9"/>
      <c r="V143" s="9"/>
      <c r="W143" s="9"/>
    </row>
    <row r="144" spans="13:23" x14ac:dyDescent="0.25">
      <c r="M144" s="9"/>
      <c r="N144" s="9"/>
      <c r="O144" s="9"/>
      <c r="P144" s="9"/>
      <c r="Q144" s="9"/>
      <c r="R144" s="9"/>
      <c r="S144" s="9"/>
      <c r="T144" s="9"/>
      <c r="U144" s="9"/>
      <c r="V144" s="9"/>
      <c r="W144" s="9"/>
    </row>
    <row r="145" spans="13:23" x14ac:dyDescent="0.25">
      <c r="M145" s="9"/>
      <c r="N145" s="9"/>
      <c r="O145" s="9"/>
      <c r="P145" s="9"/>
      <c r="Q145" s="9"/>
      <c r="R145" s="9"/>
      <c r="S145" s="9"/>
      <c r="T145" s="9"/>
      <c r="U145" s="9"/>
      <c r="V145" s="9"/>
      <c r="W145" s="9"/>
    </row>
    <row r="146" spans="13:23" x14ac:dyDescent="0.25">
      <c r="M146" s="9"/>
      <c r="N146" s="9"/>
      <c r="O146" s="9"/>
      <c r="P146" s="9"/>
      <c r="Q146" s="9"/>
      <c r="R146" s="9"/>
      <c r="S146" s="9"/>
      <c r="T146" s="9"/>
      <c r="U146" s="9"/>
      <c r="V146" s="9"/>
      <c r="W146" s="9"/>
    </row>
    <row r="147" spans="13:23" x14ac:dyDescent="0.25">
      <c r="M147" s="9"/>
      <c r="N147" s="9"/>
      <c r="O147" s="9"/>
      <c r="P147" s="9"/>
      <c r="Q147" s="9"/>
      <c r="R147" s="9"/>
      <c r="S147" s="9"/>
      <c r="T147" s="9"/>
      <c r="U147" s="9"/>
      <c r="V147" s="9"/>
      <c r="W147" s="9"/>
    </row>
    <row r="148" spans="13:23" x14ac:dyDescent="0.25">
      <c r="M148" s="9"/>
      <c r="N148" s="9"/>
      <c r="O148" s="9"/>
      <c r="P148" s="9"/>
      <c r="Q148" s="9"/>
      <c r="R148" s="9"/>
      <c r="S148" s="9"/>
      <c r="T148" s="9"/>
      <c r="U148" s="9"/>
      <c r="V148" s="9"/>
      <c r="W148" s="9"/>
    </row>
    <row r="149" spans="13:23" x14ac:dyDescent="0.25">
      <c r="M149" s="9"/>
      <c r="N149" s="9"/>
      <c r="O149" s="9"/>
      <c r="P149" s="9"/>
      <c r="Q149" s="9"/>
      <c r="R149" s="9"/>
      <c r="S149" s="9"/>
      <c r="T149" s="9"/>
      <c r="U149" s="9"/>
      <c r="V149" s="9"/>
      <c r="W149" s="9"/>
    </row>
    <row r="150" spans="13:23" x14ac:dyDescent="0.25">
      <c r="M150" s="9"/>
      <c r="N150" s="9"/>
      <c r="O150" s="9"/>
      <c r="P150" s="9"/>
      <c r="Q150" s="9"/>
      <c r="R150" s="9"/>
      <c r="S150" s="9"/>
      <c r="T150" s="9"/>
      <c r="U150" s="9"/>
      <c r="V150" s="9"/>
      <c r="W150" s="9"/>
    </row>
    <row r="151" spans="13:23" x14ac:dyDescent="0.25">
      <c r="M151" s="9"/>
      <c r="N151" s="9"/>
      <c r="O151" s="9"/>
      <c r="P151" s="9"/>
      <c r="Q151" s="9"/>
      <c r="R151" s="9"/>
      <c r="S151" s="9"/>
      <c r="T151" s="9"/>
      <c r="U151" s="9"/>
      <c r="V151" s="9"/>
      <c r="W151" s="9"/>
    </row>
    <row r="152" spans="13:23" x14ac:dyDescent="0.25">
      <c r="M152" s="9"/>
      <c r="N152" s="9"/>
      <c r="O152" s="9"/>
      <c r="P152" s="9"/>
      <c r="Q152" s="9"/>
      <c r="R152" s="9"/>
      <c r="S152" s="9"/>
      <c r="T152" s="9"/>
      <c r="U152" s="9"/>
      <c r="V152" s="9"/>
      <c r="W152" s="9"/>
    </row>
    <row r="153" spans="13:23" x14ac:dyDescent="0.25">
      <c r="M153" s="9"/>
      <c r="N153" s="9"/>
      <c r="O153" s="9"/>
      <c r="P153" s="9"/>
      <c r="Q153" s="9"/>
      <c r="R153" s="9"/>
      <c r="S153" s="9"/>
      <c r="T153" s="9"/>
      <c r="U153" s="9"/>
      <c r="V153" s="9"/>
      <c r="W153" s="9"/>
    </row>
    <row r="154" spans="13:23" x14ac:dyDescent="0.25">
      <c r="M154" s="9"/>
      <c r="N154" s="9"/>
      <c r="O154" s="9"/>
      <c r="P154" s="9"/>
      <c r="Q154" s="9"/>
      <c r="R154" s="9"/>
      <c r="S154" s="9"/>
      <c r="T154" s="9"/>
      <c r="U154" s="9"/>
      <c r="V154" s="9"/>
      <c r="W154" s="9"/>
    </row>
    <row r="155" spans="13:23" x14ac:dyDescent="0.25">
      <c r="M155" s="9"/>
      <c r="N155" s="9"/>
      <c r="O155" s="9"/>
      <c r="P155" s="9"/>
      <c r="Q155" s="9"/>
      <c r="R155" s="9"/>
      <c r="S155" s="9"/>
      <c r="T155" s="9"/>
      <c r="U155" s="9"/>
      <c r="V155" s="9"/>
      <c r="W155" s="9"/>
    </row>
    <row r="156" spans="13:23" x14ac:dyDescent="0.25">
      <c r="M156" s="9"/>
      <c r="N156" s="9"/>
      <c r="O156" s="9"/>
      <c r="P156" s="9"/>
      <c r="Q156" s="9"/>
      <c r="R156" s="9"/>
      <c r="S156" s="9"/>
      <c r="T156" s="9"/>
      <c r="U156" s="9"/>
      <c r="V156" s="9"/>
      <c r="W156" s="9"/>
    </row>
    <row r="157" spans="13:23" x14ac:dyDescent="0.25">
      <c r="M157" s="9"/>
      <c r="N157" s="9"/>
      <c r="O157" s="9"/>
      <c r="P157" s="9"/>
      <c r="Q157" s="9"/>
      <c r="R157" s="9"/>
      <c r="S157" s="9"/>
      <c r="T157" s="9"/>
      <c r="U157" s="9"/>
      <c r="V157" s="9"/>
      <c r="W157" s="9"/>
    </row>
    <row r="158" spans="13:23" x14ac:dyDescent="0.25">
      <c r="M158" s="9"/>
      <c r="N158" s="9"/>
      <c r="O158" s="9"/>
      <c r="P158" s="9"/>
      <c r="Q158" s="9"/>
      <c r="R158" s="9"/>
      <c r="S158" s="9"/>
      <c r="T158" s="9"/>
      <c r="U158" s="9"/>
      <c r="V158" s="9"/>
      <c r="W158" s="9"/>
    </row>
    <row r="159" spans="13:23" x14ac:dyDescent="0.25">
      <c r="M159" s="9"/>
      <c r="N159" s="9"/>
      <c r="O159" s="9"/>
      <c r="P159" s="9"/>
      <c r="Q159" s="9"/>
      <c r="R159" s="9"/>
      <c r="S159" s="9"/>
      <c r="T159" s="9"/>
      <c r="U159" s="9"/>
      <c r="V159" s="9"/>
      <c r="W159" s="9"/>
    </row>
    <row r="160" spans="13:23" x14ac:dyDescent="0.25">
      <c r="M160" s="9"/>
      <c r="N160" s="9"/>
      <c r="O160" s="9"/>
      <c r="P160" s="9"/>
      <c r="Q160" s="9"/>
      <c r="R160" s="9"/>
      <c r="S160" s="9"/>
      <c r="T160" s="9"/>
      <c r="U160" s="9"/>
      <c r="V160" s="9"/>
      <c r="W160" s="9"/>
    </row>
    <row r="161" spans="13:23" x14ac:dyDescent="0.25">
      <c r="M161" s="9"/>
      <c r="N161" s="9"/>
      <c r="O161" s="9"/>
      <c r="P161" s="9"/>
      <c r="Q161" s="9"/>
      <c r="R161" s="9"/>
      <c r="S161" s="9"/>
      <c r="T161" s="9"/>
      <c r="U161" s="9"/>
      <c r="V161" s="9"/>
      <c r="W161" s="9"/>
    </row>
    <row r="162" spans="13:23" x14ac:dyDescent="0.25">
      <c r="M162" s="9"/>
      <c r="N162" s="9"/>
      <c r="O162" s="9"/>
      <c r="P162" s="9"/>
      <c r="Q162" s="9"/>
      <c r="R162" s="9"/>
      <c r="S162" s="9"/>
      <c r="T162" s="9"/>
      <c r="U162" s="9"/>
      <c r="V162" s="9"/>
      <c r="W162" s="9"/>
    </row>
    <row r="163" spans="13:23" x14ac:dyDescent="0.25">
      <c r="M163" s="9"/>
      <c r="N163" s="9"/>
      <c r="O163" s="9"/>
      <c r="P163" s="9"/>
      <c r="Q163" s="9"/>
      <c r="R163" s="9"/>
      <c r="S163" s="9"/>
      <c r="T163" s="9"/>
      <c r="U163" s="9"/>
      <c r="V163" s="9"/>
      <c r="W163" s="9"/>
    </row>
    <row r="164" spans="13:23" x14ac:dyDescent="0.25">
      <c r="M164" s="9"/>
      <c r="N164" s="9"/>
      <c r="O164" s="9"/>
      <c r="P164" s="9"/>
      <c r="Q164" s="9"/>
      <c r="R164" s="9"/>
      <c r="S164" s="9"/>
      <c r="T164" s="9"/>
      <c r="U164" s="9"/>
      <c r="V164" s="9"/>
      <c r="W164" s="9"/>
    </row>
    <row r="165" spans="13:23" x14ac:dyDescent="0.25">
      <c r="M165" s="9"/>
      <c r="N165" s="9"/>
      <c r="O165" s="9"/>
      <c r="P165" s="9"/>
      <c r="Q165" s="9"/>
      <c r="R165" s="9"/>
      <c r="S165" s="9"/>
      <c r="T165" s="9"/>
      <c r="U165" s="9"/>
      <c r="V165" s="9"/>
      <c r="W165" s="9"/>
    </row>
  </sheetData>
  <mergeCells count="1">
    <mergeCell ref="A1:L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75296-6C65-44B0-9828-0089A6D56EB7}">
  <dimension ref="A1:A9"/>
  <sheetViews>
    <sheetView workbookViewId="0"/>
  </sheetViews>
  <sheetFormatPr defaultRowHeight="15" x14ac:dyDescent="0.25"/>
  <cols>
    <col min="1" max="1" width="177.42578125" customWidth="1"/>
  </cols>
  <sheetData>
    <row r="1" spans="1:1" x14ac:dyDescent="0.25">
      <c r="A1" s="10" t="s">
        <v>87</v>
      </c>
    </row>
    <row r="3" spans="1:1" x14ac:dyDescent="0.25">
      <c r="A3" s="10" t="s">
        <v>88</v>
      </c>
    </row>
    <row r="5" spans="1:1" x14ac:dyDescent="0.25">
      <c r="A5" s="10" t="s">
        <v>89</v>
      </c>
    </row>
    <row r="7" spans="1:1" x14ac:dyDescent="0.25">
      <c r="A7" s="10" t="s">
        <v>90</v>
      </c>
    </row>
    <row r="9" spans="1:1" x14ac:dyDescent="0.25">
      <c r="A9" s="10"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 Raw</vt:lpstr>
      <vt:lpstr>Clean Data</vt:lpstr>
      <vt:lpstr>Sheet2</vt:lpstr>
      <vt:lpstr>Weight By Gender</vt:lpstr>
      <vt:lpstr>Playtime Vs Age Group</vt:lpstr>
      <vt:lpstr>Gender Distribution By EyeColor</vt:lpstr>
      <vt:lpstr>Gender Distribution</vt:lpstr>
      <vt:lpstr>Age Group Distribution</vt:lpstr>
      <vt:lpstr>Fur Colour</vt:lpstr>
      <vt:lpstr>Avg Sleep Time</vt:lpstr>
      <vt:lpstr>Avg Playtime By Gender</vt:lpstr>
      <vt:lpstr>Outdoor vs Indoorsy</vt:lpstr>
      <vt:lpstr>Calculation Sheet</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Saad</dc:creator>
  <cp:lastModifiedBy>Muhammad Saad</cp:lastModifiedBy>
  <dcterms:created xsi:type="dcterms:W3CDTF">2026-03-05T17:42:35Z</dcterms:created>
  <dcterms:modified xsi:type="dcterms:W3CDTF">2026-03-07T17:30:07Z</dcterms:modified>
</cp:coreProperties>
</file>